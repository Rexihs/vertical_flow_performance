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92A28948-8824-4A2E-A36D-34E7BAE3CF76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ВНИИГАЗ ГС" sheetId="17" r:id="rId1"/>
    <sheet name="7 ВНИИГАЗ-1" sheetId="15" r:id="rId2"/>
    <sheet name="6 ВНИИГАЗ-2" sheetId="13" r:id="rId3"/>
    <sheet name="5 ВНИИГАЗ-1" sheetId="12" r:id="rId4"/>
    <sheet name="4 ББ" sheetId="11" r:id="rId5"/>
    <sheet name="3 Грэй (2)" sheetId="16" r:id="rId6"/>
    <sheet name="3 Грэй испр" sheetId="9" r:id="rId7"/>
    <sheet name="З ОГ" sheetId="10" r:id="rId8"/>
    <sheet name="2 ОГ" sheetId="8" r:id="rId9"/>
    <sheet name="1 ОГ" sheetId="5" r:id="rId10"/>
    <sheet name="Пример 1" sheetId="4" r:id="rId11"/>
    <sheet name="1" sheetId="6" r:id="rId12"/>
    <sheet name="ВНИИГАЗ-1" sheetId="14" r:id="rId13"/>
  </sheets>
  <externalReferences>
    <externalReference r:id="rId14"/>
    <externalReference r:id="rId15"/>
    <externalReference r:id="rId16"/>
  </externalReferences>
  <definedNames>
    <definedName name="F1p" localSheetId="9">#REF!</definedName>
    <definedName name="F1p" localSheetId="8">#REF!</definedName>
    <definedName name="F1p" localSheetId="5">#REF!</definedName>
    <definedName name="F1p" localSheetId="6">#REF!</definedName>
    <definedName name="F1p" localSheetId="4">#REF!</definedName>
    <definedName name="F1p" localSheetId="3">#REF!</definedName>
    <definedName name="F1p" localSheetId="2">#REF!</definedName>
    <definedName name="F1p" localSheetId="1">#REF!</definedName>
    <definedName name="F1p" localSheetId="12">#REF!</definedName>
    <definedName name="F1p" localSheetId="7">#REF!</definedName>
    <definedName name="F1p" localSheetId="10">#REF!</definedName>
    <definedName name="F1p">#REF!</definedName>
    <definedName name="F2P" localSheetId="9">#REF!</definedName>
    <definedName name="F2P" localSheetId="8">#REF!</definedName>
    <definedName name="F2P" localSheetId="5">#REF!</definedName>
    <definedName name="F2P" localSheetId="6">#REF!</definedName>
    <definedName name="F2P" localSheetId="4">#REF!</definedName>
    <definedName name="F2P" localSheetId="3">#REF!</definedName>
    <definedName name="F2P" localSheetId="2">#REF!</definedName>
    <definedName name="F2P" localSheetId="1">#REF!</definedName>
    <definedName name="F2P" localSheetId="12">#REF!</definedName>
    <definedName name="F2P" localSheetId="7">#REF!</definedName>
    <definedName name="F2P" localSheetId="10">#REF!</definedName>
    <definedName name="F2P">#REF!</definedName>
    <definedName name="F3p" localSheetId="9">#REF!</definedName>
    <definedName name="F3p" localSheetId="8">#REF!</definedName>
    <definedName name="F3p" localSheetId="5">#REF!</definedName>
    <definedName name="F3p" localSheetId="6">#REF!</definedName>
    <definedName name="F3p" localSheetId="4">#REF!</definedName>
    <definedName name="F3p" localSheetId="3">#REF!</definedName>
    <definedName name="F3p" localSheetId="2">#REF!</definedName>
    <definedName name="F3p" localSheetId="1">#REF!</definedName>
    <definedName name="F3p" localSheetId="12">#REF!</definedName>
    <definedName name="F3p" localSheetId="7">#REF!</definedName>
    <definedName name="F3p" localSheetId="10">#REF!</definedName>
    <definedName name="F3p">#REF!</definedName>
    <definedName name="F4p" localSheetId="9">[1]IshDanCond!#REF!</definedName>
    <definedName name="F4p" localSheetId="8">[1]IshDanCond!#REF!</definedName>
    <definedName name="F4p" localSheetId="5">[1]IshDanCond!#REF!</definedName>
    <definedName name="F4p" localSheetId="6">[1]IshDanCond!#REF!</definedName>
    <definedName name="F4p" localSheetId="4">[1]IshDanCond!#REF!</definedName>
    <definedName name="F4p" localSheetId="3">[1]IshDanCond!#REF!</definedName>
    <definedName name="F4p" localSheetId="2">[1]IshDanCond!#REF!</definedName>
    <definedName name="F4p" localSheetId="1">[1]IshDanCond!#REF!</definedName>
    <definedName name="F4p" localSheetId="12">[1]IshDanCond!#REF!</definedName>
    <definedName name="F4p" localSheetId="7">[1]IshDanCond!#REF!</definedName>
    <definedName name="F4p" localSheetId="10">[1]IshDanCond!#REF!</definedName>
    <definedName name="F4p">[1]IshDanCond!#REF!</definedName>
    <definedName name="g" localSheetId="9">#REF!</definedName>
    <definedName name="g" localSheetId="8">#REF!</definedName>
    <definedName name="g" localSheetId="5">#REF!</definedName>
    <definedName name="g" localSheetId="6">#REF!</definedName>
    <definedName name="g" localSheetId="4">#REF!</definedName>
    <definedName name="g" localSheetId="3">#REF!</definedName>
    <definedName name="g" localSheetId="2">#REF!</definedName>
    <definedName name="g" localSheetId="1">#REF!</definedName>
    <definedName name="g" localSheetId="12">#REF!</definedName>
    <definedName name="g" localSheetId="7">#REF!</definedName>
    <definedName name="g" localSheetId="10">#REF!</definedName>
    <definedName name="g">#REF!</definedName>
    <definedName name="L" localSheetId="9">[1]IshDanCond!#REF!</definedName>
    <definedName name="L" localSheetId="8">[1]IshDanCond!#REF!</definedName>
    <definedName name="L" localSheetId="5">[1]IshDanCond!#REF!</definedName>
    <definedName name="L" localSheetId="6">[1]IshDanCond!#REF!</definedName>
    <definedName name="L" localSheetId="4">[1]IshDanCond!#REF!</definedName>
    <definedName name="L" localSheetId="3">[1]IshDanCond!#REF!</definedName>
    <definedName name="L" localSheetId="2">[1]IshDanCond!#REF!</definedName>
    <definedName name="L" localSheetId="1">[1]IshDanCond!#REF!</definedName>
    <definedName name="L" localSheetId="12">[1]IshDanCond!#REF!</definedName>
    <definedName name="L" localSheetId="7">[1]IshDanCond!#REF!</definedName>
    <definedName name="L" localSheetId="10">[1]IshDanCond!#REF!</definedName>
    <definedName name="L">[1]IshDanCond!#REF!</definedName>
    <definedName name="MjuGas" localSheetId="9">#REF!</definedName>
    <definedName name="MjuGas" localSheetId="8">#REF!</definedName>
    <definedName name="MjuGas" localSheetId="5">#REF!</definedName>
    <definedName name="MjuGas" localSheetId="6">#REF!</definedName>
    <definedName name="MjuGas" localSheetId="4">#REF!</definedName>
    <definedName name="MjuGas" localSheetId="3">#REF!</definedName>
    <definedName name="MjuGas" localSheetId="2">#REF!</definedName>
    <definedName name="MjuGas" localSheetId="1">#REF!</definedName>
    <definedName name="MjuGas" localSheetId="12">#REF!</definedName>
    <definedName name="MjuGas" localSheetId="7">#REF!</definedName>
    <definedName name="MjuGas" localSheetId="10">#REF!</definedName>
    <definedName name="MjuGas">#REF!</definedName>
    <definedName name="PlCond" localSheetId="9">#REF!</definedName>
    <definedName name="PlCond" localSheetId="8">#REF!</definedName>
    <definedName name="PlCond" localSheetId="5">#REF!</definedName>
    <definedName name="PlCond" localSheetId="6">#REF!</definedName>
    <definedName name="PlCond" localSheetId="4">#REF!</definedName>
    <definedName name="PlCond" localSheetId="3">#REF!</definedName>
    <definedName name="PlCond" localSheetId="2">#REF!</definedName>
    <definedName name="PlCond" localSheetId="1">#REF!</definedName>
    <definedName name="PlCond" localSheetId="12">#REF!</definedName>
    <definedName name="PlCond" localSheetId="7">#REF!</definedName>
    <definedName name="PlCond" localSheetId="10">#REF!</definedName>
    <definedName name="PlCond">#REF!</definedName>
    <definedName name="PlGas" localSheetId="9">#REF!</definedName>
    <definedName name="PlGas" localSheetId="8">#REF!</definedName>
    <definedName name="PlGas" localSheetId="5">#REF!</definedName>
    <definedName name="PlGas" localSheetId="6">#REF!</definedName>
    <definedName name="PlGas" localSheetId="4">#REF!</definedName>
    <definedName name="PlGas" localSheetId="3">#REF!</definedName>
    <definedName name="PlGas" localSheetId="2">#REF!</definedName>
    <definedName name="PlGas" localSheetId="1">#REF!</definedName>
    <definedName name="PlGas" localSheetId="12">#REF!</definedName>
    <definedName name="PlGas" localSheetId="7">#REF!</definedName>
    <definedName name="PlGas" localSheetId="10">#REF!</definedName>
    <definedName name="PlGas">#REF!</definedName>
    <definedName name="Газлифт" localSheetId="9">[1]IshDanCond!#REF!</definedName>
    <definedName name="Газлифт" localSheetId="8">[1]IshDanCond!#REF!</definedName>
    <definedName name="Газлифт" localSheetId="5">[1]IshDanCond!#REF!</definedName>
    <definedName name="Газлифт" localSheetId="6">[1]IshDanCond!#REF!</definedName>
    <definedName name="Газлифт" localSheetId="4">[1]IshDanCond!#REF!</definedName>
    <definedName name="Газлифт" localSheetId="3">[1]IshDanCond!#REF!</definedName>
    <definedName name="Газлифт" localSheetId="2">[1]IshDanCond!#REF!</definedName>
    <definedName name="Газлифт" localSheetId="1">[1]IshDanCond!#REF!</definedName>
    <definedName name="Газлифт" localSheetId="12">[1]IshDanCond!#REF!</definedName>
    <definedName name="Газлифт" localSheetId="7">[1]IshDanCond!#REF!</definedName>
    <definedName name="Газлифт" localSheetId="10">[1]IshDanCond!#REF!</definedName>
    <definedName name="Газлифт">[1]IshDanCond!#REF!</definedName>
    <definedName name="диаметр">[2]Лист3!$AP$2:$AP$7</definedName>
    <definedName name="длины">[2]Лист3!$AQ$2:$AQ$5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7" l="1"/>
  <c r="K3" i="17" s="1"/>
  <c r="F8" i="17"/>
  <c r="F7" i="17"/>
  <c r="F6" i="17"/>
  <c r="G4" i="17"/>
  <c r="T8" i="9"/>
  <c r="T7" i="9"/>
  <c r="C21" i="16"/>
  <c r="C22" i="16" s="1"/>
  <c r="C10" i="16"/>
  <c r="C9" i="16"/>
  <c r="C12" i="16" s="1"/>
  <c r="C7" i="16"/>
  <c r="H7" i="16" s="1"/>
  <c r="L4" i="16"/>
  <c r="AD12" i="15"/>
  <c r="AD11" i="15"/>
  <c r="Z11" i="15"/>
  <c r="AB9" i="15"/>
  <c r="Z9" i="15"/>
  <c r="S12" i="15"/>
  <c r="S11" i="15"/>
  <c r="R11" i="15"/>
  <c r="P12" i="15"/>
  <c r="P13" i="15"/>
  <c r="P14" i="15"/>
  <c r="P15" i="15"/>
  <c r="P16" i="15"/>
  <c r="P17" i="15"/>
  <c r="P18" i="15"/>
  <c r="P19" i="15"/>
  <c r="P20" i="15"/>
  <c r="P21" i="15"/>
  <c r="P22" i="15"/>
  <c r="P11" i="15"/>
  <c r="N11" i="15"/>
  <c r="N5" i="15"/>
  <c r="O11" i="15"/>
  <c r="N3" i="15"/>
  <c r="N4" i="15"/>
  <c r="C25" i="15"/>
  <c r="C14" i="15"/>
  <c r="C13" i="15"/>
  <c r="C15" i="15" s="1"/>
  <c r="I11" i="15"/>
  <c r="C11" i="15"/>
  <c r="H11" i="15" s="1"/>
  <c r="L8" i="15"/>
  <c r="I5" i="15"/>
  <c r="I4" i="15"/>
  <c r="I3" i="15"/>
  <c r="L2" i="15"/>
  <c r="I2" i="15"/>
  <c r="L1" i="15"/>
  <c r="L3" i="15" s="1"/>
  <c r="I1" i="15"/>
  <c r="AB11" i="13"/>
  <c r="Z11" i="13"/>
  <c r="AB11" i="12"/>
  <c r="Z11" i="12"/>
  <c r="C9" i="14"/>
  <c r="C8" i="14"/>
  <c r="C7" i="14"/>
  <c r="G13" i="14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12" i="14"/>
  <c r="C25" i="14"/>
  <c r="C16" i="14"/>
  <c r="C14" i="14"/>
  <c r="C13" i="14"/>
  <c r="I11" i="14" s="1"/>
  <c r="C11" i="14"/>
  <c r="H11" i="14" s="1"/>
  <c r="L8" i="14"/>
  <c r="I5" i="14"/>
  <c r="I4" i="14"/>
  <c r="I3" i="14"/>
  <c r="L2" i="14"/>
  <c r="I2" i="14"/>
  <c r="L1" i="14"/>
  <c r="I1" i="14"/>
  <c r="P12" i="13"/>
  <c r="P13" i="13"/>
  <c r="P11" i="13"/>
  <c r="N11" i="13"/>
  <c r="M5" i="13"/>
  <c r="O11" i="13" s="1"/>
  <c r="M4" i="13"/>
  <c r="M3" i="13"/>
  <c r="M2" i="13"/>
  <c r="M1" i="13"/>
  <c r="I5" i="13"/>
  <c r="I4" i="13"/>
  <c r="I3" i="13"/>
  <c r="I2" i="13"/>
  <c r="I1" i="13"/>
  <c r="C25" i="13"/>
  <c r="C26" i="13" s="1"/>
  <c r="C14" i="13"/>
  <c r="C13" i="13"/>
  <c r="C15" i="13" s="1"/>
  <c r="C11" i="13"/>
  <c r="H11" i="13" s="1"/>
  <c r="L8" i="13"/>
  <c r="L11" i="12"/>
  <c r="C25" i="12"/>
  <c r="L2" i="12"/>
  <c r="L1" i="12"/>
  <c r="I5" i="12"/>
  <c r="I4" i="12"/>
  <c r="I3" i="12"/>
  <c r="I2" i="12"/>
  <c r="I1" i="12"/>
  <c r="C14" i="12"/>
  <c r="C13" i="12"/>
  <c r="C15" i="12" s="1"/>
  <c r="C11" i="12"/>
  <c r="H11" i="12" s="1"/>
  <c r="L8" i="12"/>
  <c r="AF8" i="11"/>
  <c r="AF7" i="11"/>
  <c r="AE7" i="11"/>
  <c r="X7" i="9"/>
  <c r="Z4" i="11"/>
  <c r="C21" i="11"/>
  <c r="C22" i="11" s="1"/>
  <c r="C26" i="11" s="1"/>
  <c r="C10" i="11"/>
  <c r="C9" i="11"/>
  <c r="C7" i="11"/>
  <c r="H7" i="11" s="1"/>
  <c r="L4" i="11"/>
  <c r="C21" i="10"/>
  <c r="C22" i="10" s="1"/>
  <c r="C19" i="10"/>
  <c r="C10" i="10"/>
  <c r="C12" i="10" s="1"/>
  <c r="C9" i="10"/>
  <c r="I7" i="10" s="1"/>
  <c r="A9" i="10"/>
  <c r="C7" i="10"/>
  <c r="H7" i="10" s="1"/>
  <c r="L4" i="10"/>
  <c r="C10" i="9"/>
  <c r="C9" i="9"/>
  <c r="C21" i="9"/>
  <c r="C22" i="9" s="1"/>
  <c r="C7" i="9"/>
  <c r="H7" i="9" s="1"/>
  <c r="L4" i="9"/>
  <c r="C23" i="8"/>
  <c r="C21" i="8"/>
  <c r="C22" i="8" s="1"/>
  <c r="A9" i="8"/>
  <c r="C19" i="8"/>
  <c r="C10" i="8"/>
  <c r="C9" i="8"/>
  <c r="I7" i="8" s="1"/>
  <c r="C7" i="8"/>
  <c r="H7" i="8" s="1"/>
  <c r="L4" i="8"/>
  <c r="D12" i="6"/>
  <c r="D11" i="6"/>
  <c r="L9" i="6"/>
  <c r="L6" i="6"/>
  <c r="L7" i="6" s="1"/>
  <c r="L8" i="6" s="1"/>
  <c r="J5" i="6"/>
  <c r="I5" i="6"/>
  <c r="J4" i="6"/>
  <c r="I4" i="6"/>
  <c r="H5" i="6"/>
  <c r="G5" i="6"/>
  <c r="K4" i="4"/>
  <c r="C7" i="5"/>
  <c r="H7" i="5" s="1"/>
  <c r="C19" i="5"/>
  <c r="C10" i="5"/>
  <c r="C9" i="5"/>
  <c r="I7" i="5" s="1"/>
  <c r="L4" i="5"/>
  <c r="F2" i="17" l="1"/>
  <c r="P17" i="17"/>
  <c r="Q17" i="17" s="1"/>
  <c r="P33" i="17"/>
  <c r="Q33" i="17" s="1"/>
  <c r="P49" i="17"/>
  <c r="Q49" i="17" s="1"/>
  <c r="P65" i="17"/>
  <c r="Q65" i="17" s="1"/>
  <c r="P81" i="17"/>
  <c r="Q81" i="17" s="1"/>
  <c r="P97" i="17"/>
  <c r="Q97" i="17" s="1"/>
  <c r="P113" i="17"/>
  <c r="Q113" i="17" s="1"/>
  <c r="P129" i="17"/>
  <c r="Q129" i="17" s="1"/>
  <c r="P145" i="17"/>
  <c r="Q145" i="17" s="1"/>
  <c r="P161" i="17"/>
  <c r="Q161" i="17" s="1"/>
  <c r="P177" i="17"/>
  <c r="Q177" i="17" s="1"/>
  <c r="P193" i="17"/>
  <c r="Q193" i="17" s="1"/>
  <c r="P209" i="17"/>
  <c r="Q209" i="17" s="1"/>
  <c r="P35" i="17"/>
  <c r="Q35" i="17" s="1"/>
  <c r="P67" i="17"/>
  <c r="Q67" i="17" s="1"/>
  <c r="P99" i="17"/>
  <c r="Q99" i="17" s="1"/>
  <c r="P147" i="17"/>
  <c r="Q147" i="17" s="1"/>
  <c r="P179" i="17"/>
  <c r="Q179" i="17" s="1"/>
  <c r="P36" i="17"/>
  <c r="Q36" i="17" s="1"/>
  <c r="P148" i="17"/>
  <c r="Q148" i="17" s="1"/>
  <c r="P18" i="17"/>
  <c r="Q18" i="17" s="1"/>
  <c r="P34" i="17"/>
  <c r="Q34" i="17" s="1"/>
  <c r="P50" i="17"/>
  <c r="Q50" i="17" s="1"/>
  <c r="P66" i="17"/>
  <c r="Q66" i="17" s="1"/>
  <c r="P82" i="17"/>
  <c r="Q82" i="17" s="1"/>
  <c r="P98" i="17"/>
  <c r="Q98" i="17" s="1"/>
  <c r="P114" i="17"/>
  <c r="Q114" i="17" s="1"/>
  <c r="P130" i="17"/>
  <c r="Q130" i="17" s="1"/>
  <c r="P146" i="17"/>
  <c r="Q146" i="17" s="1"/>
  <c r="P162" i="17"/>
  <c r="Q162" i="17" s="1"/>
  <c r="P178" i="17"/>
  <c r="Q178" i="17" s="1"/>
  <c r="P194" i="17"/>
  <c r="Q194" i="17" s="1"/>
  <c r="P210" i="17"/>
  <c r="Q210" i="17" s="1"/>
  <c r="P19" i="17"/>
  <c r="Q19" i="17" s="1"/>
  <c r="P51" i="17"/>
  <c r="Q51" i="17" s="1"/>
  <c r="P83" i="17"/>
  <c r="Q83" i="17" s="1"/>
  <c r="P131" i="17"/>
  <c r="Q131" i="17" s="1"/>
  <c r="P163" i="17"/>
  <c r="Q163" i="17" s="1"/>
  <c r="P195" i="17"/>
  <c r="Q195" i="17" s="1"/>
  <c r="P20" i="17"/>
  <c r="Q20" i="17" s="1"/>
  <c r="P132" i="17"/>
  <c r="Q132" i="17" s="1"/>
  <c r="P212" i="17"/>
  <c r="Q212" i="17" s="1"/>
  <c r="P22" i="17"/>
  <c r="Q22" i="17" s="1"/>
  <c r="P38" i="17"/>
  <c r="Q38" i="17" s="1"/>
  <c r="P54" i="17"/>
  <c r="Q54" i="17" s="1"/>
  <c r="P70" i="17"/>
  <c r="Q70" i="17" s="1"/>
  <c r="P86" i="17"/>
  <c r="Q86" i="17" s="1"/>
  <c r="P102" i="17"/>
  <c r="Q102" i="17" s="1"/>
  <c r="P118" i="17"/>
  <c r="Q118" i="17" s="1"/>
  <c r="P134" i="17"/>
  <c r="Q134" i="17" s="1"/>
  <c r="P150" i="17"/>
  <c r="Q150" i="17" s="1"/>
  <c r="P166" i="17"/>
  <c r="Q166" i="17" s="1"/>
  <c r="P182" i="17"/>
  <c r="Q182" i="17" s="1"/>
  <c r="P198" i="17"/>
  <c r="Q198" i="17" s="1"/>
  <c r="P214" i="17"/>
  <c r="Q214" i="17" s="1"/>
  <c r="P8" i="17"/>
  <c r="Q8" i="17" s="1"/>
  <c r="P56" i="17"/>
  <c r="Q56" i="17" s="1"/>
  <c r="P88" i="17"/>
  <c r="Q88" i="17" s="1"/>
  <c r="P136" i="17"/>
  <c r="Q136" i="17" s="1"/>
  <c r="P184" i="17"/>
  <c r="Q184" i="17" s="1"/>
  <c r="P216" i="17"/>
  <c r="Q216" i="17" s="1"/>
  <c r="P9" i="17"/>
  <c r="Q9" i="17" s="1"/>
  <c r="P57" i="17"/>
  <c r="Q57" i="17" s="1"/>
  <c r="P89" i="17"/>
  <c r="Q89" i="17" s="1"/>
  <c r="P153" i="17"/>
  <c r="Q153" i="17" s="1"/>
  <c r="P201" i="17"/>
  <c r="Q201" i="17" s="1"/>
  <c r="P7" i="17"/>
  <c r="Q7" i="17" s="1"/>
  <c r="P23" i="17"/>
  <c r="Q23" i="17" s="1"/>
  <c r="P39" i="17"/>
  <c r="Q39" i="17" s="1"/>
  <c r="P55" i="17"/>
  <c r="Q55" i="17" s="1"/>
  <c r="P71" i="17"/>
  <c r="Q71" i="17" s="1"/>
  <c r="P87" i="17"/>
  <c r="Q87" i="17" s="1"/>
  <c r="P103" i="17"/>
  <c r="Q103" i="17" s="1"/>
  <c r="P119" i="17"/>
  <c r="Q119" i="17" s="1"/>
  <c r="P135" i="17"/>
  <c r="Q135" i="17" s="1"/>
  <c r="P151" i="17"/>
  <c r="Q151" i="17" s="1"/>
  <c r="P167" i="17"/>
  <c r="Q167" i="17" s="1"/>
  <c r="P183" i="17"/>
  <c r="Q183" i="17" s="1"/>
  <c r="P199" i="17"/>
  <c r="Q199" i="17" s="1"/>
  <c r="P215" i="17"/>
  <c r="Q215" i="17" s="1"/>
  <c r="P24" i="17"/>
  <c r="Q24" i="17" s="1"/>
  <c r="P40" i="17"/>
  <c r="Q40" i="17" s="1"/>
  <c r="P72" i="17"/>
  <c r="Q72" i="17" s="1"/>
  <c r="P104" i="17"/>
  <c r="Q104" i="17" s="1"/>
  <c r="P120" i="17"/>
  <c r="Q120" i="17" s="1"/>
  <c r="P152" i="17"/>
  <c r="Q152" i="17" s="1"/>
  <c r="P168" i="17"/>
  <c r="Q168" i="17" s="1"/>
  <c r="P200" i="17"/>
  <c r="Q200" i="17" s="1"/>
  <c r="P41" i="17"/>
  <c r="Q41" i="17" s="1"/>
  <c r="P73" i="17"/>
  <c r="Q73" i="17" s="1"/>
  <c r="P105" i="17"/>
  <c r="Q105" i="17" s="1"/>
  <c r="P121" i="17"/>
  <c r="Q121" i="17" s="1"/>
  <c r="P185" i="17"/>
  <c r="Q185" i="17" s="1"/>
  <c r="P217" i="17"/>
  <c r="Q217" i="17" s="1"/>
  <c r="P37" i="17"/>
  <c r="Q37" i="17" s="1"/>
  <c r="P169" i="17"/>
  <c r="Q169" i="17" s="1"/>
  <c r="P21" i="17"/>
  <c r="Q21" i="17" s="1"/>
  <c r="P25" i="17"/>
  <c r="Q25" i="17" s="1"/>
  <c r="P137" i="17"/>
  <c r="Q137" i="17" s="1"/>
  <c r="P10" i="17"/>
  <c r="Q10" i="17" s="1"/>
  <c r="P26" i="17"/>
  <c r="Q26" i="17" s="1"/>
  <c r="P42" i="17"/>
  <c r="Q42" i="17" s="1"/>
  <c r="P58" i="17"/>
  <c r="Q58" i="17" s="1"/>
  <c r="P74" i="17"/>
  <c r="Q74" i="17" s="1"/>
  <c r="P90" i="17"/>
  <c r="Q90" i="17" s="1"/>
  <c r="P106" i="17"/>
  <c r="Q106" i="17" s="1"/>
  <c r="P122" i="17"/>
  <c r="Q122" i="17" s="1"/>
  <c r="P138" i="17"/>
  <c r="Q138" i="17" s="1"/>
  <c r="P154" i="17"/>
  <c r="Q154" i="17" s="1"/>
  <c r="P170" i="17"/>
  <c r="Q170" i="17" s="1"/>
  <c r="P186" i="17"/>
  <c r="Q186" i="17" s="1"/>
  <c r="P202" i="17"/>
  <c r="Q202" i="17" s="1"/>
  <c r="P218" i="17"/>
  <c r="Q218" i="17" s="1"/>
  <c r="P11" i="17"/>
  <c r="Q11" i="17" s="1"/>
  <c r="P27" i="17"/>
  <c r="Q27" i="17" s="1"/>
  <c r="P43" i="17"/>
  <c r="Q43" i="17" s="1"/>
  <c r="P59" i="17"/>
  <c r="Q59" i="17" s="1"/>
  <c r="P75" i="17"/>
  <c r="Q75" i="17" s="1"/>
  <c r="P91" i="17"/>
  <c r="Q91" i="17" s="1"/>
  <c r="P107" i="17"/>
  <c r="Q107" i="17" s="1"/>
  <c r="P123" i="17"/>
  <c r="Q123" i="17" s="1"/>
  <c r="P139" i="17"/>
  <c r="Q139" i="17" s="1"/>
  <c r="P155" i="17"/>
  <c r="Q155" i="17" s="1"/>
  <c r="P171" i="17"/>
  <c r="Q171" i="17" s="1"/>
  <c r="P187" i="17"/>
  <c r="Q187" i="17" s="1"/>
  <c r="P203" i="17"/>
  <c r="Q203" i="17" s="1"/>
  <c r="P219" i="17"/>
  <c r="Q219" i="17" s="1"/>
  <c r="P61" i="17"/>
  <c r="Q61" i="17" s="1"/>
  <c r="P109" i="17"/>
  <c r="Q109" i="17" s="1"/>
  <c r="P173" i="17"/>
  <c r="Q173" i="17" s="1"/>
  <c r="P205" i="17"/>
  <c r="Q205" i="17" s="1"/>
  <c r="P14" i="17"/>
  <c r="Q14" i="17" s="1"/>
  <c r="P62" i="17"/>
  <c r="Q62" i="17" s="1"/>
  <c r="P94" i="17"/>
  <c r="Q94" i="17" s="1"/>
  <c r="P142" i="17"/>
  <c r="Q142" i="17" s="1"/>
  <c r="P190" i="17"/>
  <c r="Q190" i="17" s="1"/>
  <c r="P68" i="17"/>
  <c r="Q68" i="17" s="1"/>
  <c r="P164" i="17"/>
  <c r="Q164" i="17" s="1"/>
  <c r="P149" i="17"/>
  <c r="Q149" i="17" s="1"/>
  <c r="P12" i="17"/>
  <c r="Q12" i="17" s="1"/>
  <c r="P28" i="17"/>
  <c r="Q28" i="17" s="1"/>
  <c r="P44" i="17"/>
  <c r="Q44" i="17" s="1"/>
  <c r="P60" i="17"/>
  <c r="Q60" i="17" s="1"/>
  <c r="P76" i="17"/>
  <c r="Q76" i="17" s="1"/>
  <c r="P92" i="17"/>
  <c r="Q92" i="17" s="1"/>
  <c r="P108" i="17"/>
  <c r="Q108" i="17" s="1"/>
  <c r="P124" i="17"/>
  <c r="Q124" i="17" s="1"/>
  <c r="P140" i="17"/>
  <c r="Q140" i="17" s="1"/>
  <c r="P156" i="17"/>
  <c r="Q156" i="17" s="1"/>
  <c r="P172" i="17"/>
  <c r="Q172" i="17" s="1"/>
  <c r="P188" i="17"/>
  <c r="Q188" i="17" s="1"/>
  <c r="P204" i="17"/>
  <c r="Q204" i="17" s="1"/>
  <c r="P220" i="17"/>
  <c r="Q220" i="17" s="1"/>
  <c r="P13" i="17"/>
  <c r="Q13" i="17" s="1"/>
  <c r="P45" i="17"/>
  <c r="Q45" i="17" s="1"/>
  <c r="P77" i="17"/>
  <c r="Q77" i="17" s="1"/>
  <c r="P125" i="17"/>
  <c r="Q125" i="17" s="1"/>
  <c r="P141" i="17"/>
  <c r="Q141" i="17" s="1"/>
  <c r="P189" i="17"/>
  <c r="Q189" i="17" s="1"/>
  <c r="P30" i="17"/>
  <c r="Q30" i="17" s="1"/>
  <c r="P78" i="17"/>
  <c r="Q78" i="17" s="1"/>
  <c r="P126" i="17"/>
  <c r="Q126" i="17" s="1"/>
  <c r="P174" i="17"/>
  <c r="Q174" i="17" s="1"/>
  <c r="P222" i="17"/>
  <c r="Q222" i="17" s="1"/>
  <c r="P52" i="17"/>
  <c r="Q52" i="17" s="1"/>
  <c r="P180" i="17"/>
  <c r="Q180" i="17" s="1"/>
  <c r="P53" i="17"/>
  <c r="Q53" i="17" s="1"/>
  <c r="P29" i="17"/>
  <c r="Q29" i="17" s="1"/>
  <c r="P93" i="17"/>
  <c r="Q93" i="17" s="1"/>
  <c r="P157" i="17"/>
  <c r="Q157" i="17" s="1"/>
  <c r="P221" i="17"/>
  <c r="Q221" i="17" s="1"/>
  <c r="P46" i="17"/>
  <c r="Q46" i="17" s="1"/>
  <c r="P110" i="17"/>
  <c r="Q110" i="17" s="1"/>
  <c r="P158" i="17"/>
  <c r="Q158" i="17" s="1"/>
  <c r="P206" i="17"/>
  <c r="Q206" i="17" s="1"/>
  <c r="P116" i="17"/>
  <c r="Q116" i="17" s="1"/>
  <c r="P69" i="17"/>
  <c r="Q69" i="17" s="1"/>
  <c r="P15" i="17"/>
  <c r="Q15" i="17" s="1"/>
  <c r="P31" i="17"/>
  <c r="Q31" i="17" s="1"/>
  <c r="P47" i="17"/>
  <c r="Q47" i="17" s="1"/>
  <c r="P63" i="17"/>
  <c r="Q63" i="17" s="1"/>
  <c r="P79" i="17"/>
  <c r="Q79" i="17" s="1"/>
  <c r="P95" i="17"/>
  <c r="Q95" i="17" s="1"/>
  <c r="P111" i="17"/>
  <c r="Q111" i="17" s="1"/>
  <c r="P127" i="17"/>
  <c r="Q127" i="17" s="1"/>
  <c r="P143" i="17"/>
  <c r="Q143" i="17" s="1"/>
  <c r="P159" i="17"/>
  <c r="Q159" i="17" s="1"/>
  <c r="P175" i="17"/>
  <c r="Q175" i="17" s="1"/>
  <c r="P191" i="17"/>
  <c r="Q191" i="17" s="1"/>
  <c r="P207" i="17"/>
  <c r="Q207" i="17" s="1"/>
  <c r="P223" i="17"/>
  <c r="Q223" i="17" s="1"/>
  <c r="P100" i="17"/>
  <c r="Q100" i="17" s="1"/>
  <c r="P16" i="17"/>
  <c r="Q16" i="17" s="1"/>
  <c r="P32" i="17"/>
  <c r="Q32" i="17" s="1"/>
  <c r="P48" i="17"/>
  <c r="Q48" i="17" s="1"/>
  <c r="P64" i="17"/>
  <c r="Q64" i="17" s="1"/>
  <c r="P80" i="17"/>
  <c r="Q80" i="17" s="1"/>
  <c r="P96" i="17"/>
  <c r="Q96" i="17" s="1"/>
  <c r="P112" i="17"/>
  <c r="Q112" i="17" s="1"/>
  <c r="P128" i="17"/>
  <c r="Q128" i="17" s="1"/>
  <c r="P144" i="17"/>
  <c r="Q144" i="17" s="1"/>
  <c r="P160" i="17"/>
  <c r="Q160" i="17" s="1"/>
  <c r="P176" i="17"/>
  <c r="Q176" i="17" s="1"/>
  <c r="P192" i="17"/>
  <c r="Q192" i="17" s="1"/>
  <c r="P208" i="17"/>
  <c r="Q208" i="17" s="1"/>
  <c r="P224" i="17"/>
  <c r="Q224" i="17" s="1"/>
  <c r="P115" i="17"/>
  <c r="Q115" i="17" s="1"/>
  <c r="P211" i="17"/>
  <c r="Q211" i="17" s="1"/>
  <c r="P84" i="17"/>
  <c r="Q84" i="17" s="1"/>
  <c r="P196" i="17"/>
  <c r="Q196" i="17" s="1"/>
  <c r="P101" i="17"/>
  <c r="Q101" i="17" s="1"/>
  <c r="P165" i="17"/>
  <c r="Q165" i="17" s="1"/>
  <c r="P213" i="17"/>
  <c r="Q213" i="17" s="1"/>
  <c r="P197" i="17"/>
  <c r="Q197" i="17" s="1"/>
  <c r="P117" i="17"/>
  <c r="Q117" i="17" s="1"/>
  <c r="P181" i="17"/>
  <c r="Q181" i="17" s="1"/>
  <c r="P133" i="17"/>
  <c r="Q133" i="17" s="1"/>
  <c r="P85" i="17"/>
  <c r="Q85" i="17" s="1"/>
  <c r="K134" i="17"/>
  <c r="M134" i="17" s="1"/>
  <c r="P6" i="17"/>
  <c r="Q6" i="17" s="1"/>
  <c r="K8" i="17"/>
  <c r="M8" i="17" s="1"/>
  <c r="K67" i="17"/>
  <c r="M67" i="17" s="1"/>
  <c r="K71" i="17"/>
  <c r="M71" i="17" s="1"/>
  <c r="K208" i="17"/>
  <c r="K198" i="17"/>
  <c r="M198" i="17" s="1"/>
  <c r="K187" i="17"/>
  <c r="M187" i="17" s="1"/>
  <c r="K144" i="17"/>
  <c r="K177" i="17"/>
  <c r="M177" i="17" s="1"/>
  <c r="K176" i="17"/>
  <c r="K166" i="17"/>
  <c r="M166" i="17" s="1"/>
  <c r="K155" i="17"/>
  <c r="M155" i="17" s="1"/>
  <c r="K145" i="17"/>
  <c r="M145" i="17" s="1"/>
  <c r="K123" i="17"/>
  <c r="M123" i="17" s="1"/>
  <c r="K219" i="17"/>
  <c r="M219" i="17" s="1"/>
  <c r="K113" i="17"/>
  <c r="M113" i="17" s="1"/>
  <c r="K209" i="17"/>
  <c r="M209" i="17" s="1"/>
  <c r="K112" i="17"/>
  <c r="M112" i="17" s="1"/>
  <c r="K10" i="17"/>
  <c r="M10" i="17" s="1"/>
  <c r="K75" i="17"/>
  <c r="M75" i="17" s="1"/>
  <c r="K218" i="17"/>
  <c r="K197" i="17"/>
  <c r="M197" i="17" s="1"/>
  <c r="K186" i="17"/>
  <c r="K165" i="17"/>
  <c r="M165" i="17" s="1"/>
  <c r="K154" i="17"/>
  <c r="K133" i="17"/>
  <c r="M133" i="17" s="1"/>
  <c r="K122" i="17"/>
  <c r="K15" i="17"/>
  <c r="K79" i="17"/>
  <c r="M79" i="17" s="1"/>
  <c r="K207" i="17"/>
  <c r="M207" i="17" s="1"/>
  <c r="K196" i="17"/>
  <c r="M196" i="17" s="1"/>
  <c r="K175" i="17"/>
  <c r="M175" i="17" s="1"/>
  <c r="K164" i="17"/>
  <c r="M164" i="17" s="1"/>
  <c r="K143" i="17"/>
  <c r="M143" i="17" s="1"/>
  <c r="K132" i="17"/>
  <c r="M132" i="17" s="1"/>
  <c r="K111" i="17"/>
  <c r="M111" i="17" s="1"/>
  <c r="K19" i="17"/>
  <c r="K83" i="17"/>
  <c r="M83" i="17" s="1"/>
  <c r="K217" i="17"/>
  <c r="M217" i="17" s="1"/>
  <c r="K206" i="17"/>
  <c r="M206" i="17" s="1"/>
  <c r="K185" i="17"/>
  <c r="M185" i="17" s="1"/>
  <c r="K174" i="17"/>
  <c r="K153" i="17"/>
  <c r="M153" i="17" s="1"/>
  <c r="K142" i="17"/>
  <c r="K121" i="17"/>
  <c r="M121" i="17" s="1"/>
  <c r="K110" i="17"/>
  <c r="M110" i="17" s="1"/>
  <c r="K23" i="17"/>
  <c r="M23" i="17" s="1"/>
  <c r="K87" i="17"/>
  <c r="M87" i="17" s="1"/>
  <c r="K216" i="17"/>
  <c r="M216" i="17" s="1"/>
  <c r="K195" i="17"/>
  <c r="M195" i="17" s="1"/>
  <c r="K184" i="17"/>
  <c r="M184" i="17" s="1"/>
  <c r="K163" i="17"/>
  <c r="M163" i="17" s="1"/>
  <c r="K152" i="17"/>
  <c r="K131" i="17"/>
  <c r="M131" i="17" s="1"/>
  <c r="K120" i="17"/>
  <c r="K27" i="17"/>
  <c r="M27" i="17" s="1"/>
  <c r="K91" i="17"/>
  <c r="M91" i="17" s="1"/>
  <c r="K205" i="17"/>
  <c r="M205" i="17" s="1"/>
  <c r="K194" i="17"/>
  <c r="M194" i="17" s="1"/>
  <c r="K173" i="17"/>
  <c r="M173" i="17" s="1"/>
  <c r="K162" i="17"/>
  <c r="M162" i="17" s="1"/>
  <c r="K141" i="17"/>
  <c r="M141" i="17" s="1"/>
  <c r="K130" i="17"/>
  <c r="M130" i="17" s="1"/>
  <c r="K109" i="17"/>
  <c r="M109" i="17" s="1"/>
  <c r="K31" i="17"/>
  <c r="M31" i="17" s="1"/>
  <c r="K95" i="17"/>
  <c r="M95" i="17" s="1"/>
  <c r="K215" i="17"/>
  <c r="M215" i="17" s="1"/>
  <c r="K204" i="17"/>
  <c r="M204" i="17" s="1"/>
  <c r="K183" i="17"/>
  <c r="M183" i="17" s="1"/>
  <c r="K172" i="17"/>
  <c r="M172" i="17" s="1"/>
  <c r="K151" i="17"/>
  <c r="M151" i="17" s="1"/>
  <c r="K140" i="17"/>
  <c r="K119" i="17"/>
  <c r="M119" i="17" s="1"/>
  <c r="K108" i="17"/>
  <c r="K35" i="17"/>
  <c r="M35" i="17" s="1"/>
  <c r="K99" i="17"/>
  <c r="K214" i="17"/>
  <c r="M214" i="17" s="1"/>
  <c r="K193" i="17"/>
  <c r="M193" i="17" s="1"/>
  <c r="K182" i="17"/>
  <c r="M182" i="17" s="1"/>
  <c r="K161" i="17"/>
  <c r="M161" i="17" s="1"/>
  <c r="K150" i="17"/>
  <c r="M150" i="17" s="1"/>
  <c r="K129" i="17"/>
  <c r="M129" i="17" s="1"/>
  <c r="K118" i="17"/>
  <c r="M118" i="17" s="1"/>
  <c r="K39" i="17"/>
  <c r="M39" i="17" s="1"/>
  <c r="K224" i="17"/>
  <c r="K203" i="17"/>
  <c r="M203" i="17" s="1"/>
  <c r="K192" i="17"/>
  <c r="K171" i="17"/>
  <c r="M171" i="17" s="1"/>
  <c r="K160" i="17"/>
  <c r="K139" i="17"/>
  <c r="M139" i="17" s="1"/>
  <c r="K128" i="17"/>
  <c r="K107" i="17"/>
  <c r="M107" i="17" s="1"/>
  <c r="K43" i="17"/>
  <c r="M43" i="17" s="1"/>
  <c r="K213" i="17"/>
  <c r="M213" i="17" s="1"/>
  <c r="K202" i="17"/>
  <c r="M202" i="17" s="1"/>
  <c r="K181" i="17"/>
  <c r="M181" i="17" s="1"/>
  <c r="K170" i="17"/>
  <c r="M170" i="17" s="1"/>
  <c r="K149" i="17"/>
  <c r="M149" i="17" s="1"/>
  <c r="K138" i="17"/>
  <c r="M138" i="17" s="1"/>
  <c r="K117" i="17"/>
  <c r="M117" i="17" s="1"/>
  <c r="K106" i="17"/>
  <c r="K47" i="17"/>
  <c r="M47" i="17" s="1"/>
  <c r="K223" i="17"/>
  <c r="M223" i="17" s="1"/>
  <c r="K212" i="17"/>
  <c r="M212" i="17" s="1"/>
  <c r="K191" i="17"/>
  <c r="M191" i="17" s="1"/>
  <c r="K180" i="17"/>
  <c r="K159" i="17"/>
  <c r="M159" i="17" s="1"/>
  <c r="K148" i="17"/>
  <c r="K127" i="17"/>
  <c r="M127" i="17" s="1"/>
  <c r="K116" i="17"/>
  <c r="M116" i="17" s="1"/>
  <c r="K11" i="17"/>
  <c r="M11" i="17" s="1"/>
  <c r="K51" i="17"/>
  <c r="M51" i="17" s="1"/>
  <c r="K222" i="17"/>
  <c r="M222" i="17" s="1"/>
  <c r="K201" i="17"/>
  <c r="M201" i="17" s="1"/>
  <c r="K190" i="17"/>
  <c r="M190" i="17" s="1"/>
  <c r="K169" i="17"/>
  <c r="M169" i="17" s="1"/>
  <c r="K158" i="17"/>
  <c r="M158" i="17" s="1"/>
  <c r="K137" i="17"/>
  <c r="M137" i="17" s="1"/>
  <c r="K126" i="17"/>
  <c r="M126" i="17" s="1"/>
  <c r="K105" i="17"/>
  <c r="M105" i="17" s="1"/>
  <c r="K55" i="17"/>
  <c r="K211" i="17"/>
  <c r="M211" i="17" s="1"/>
  <c r="K200" i="17"/>
  <c r="M200" i="17" s="1"/>
  <c r="K179" i="17"/>
  <c r="M179" i="17" s="1"/>
  <c r="K168" i="17"/>
  <c r="M168" i="17" s="1"/>
  <c r="K147" i="17"/>
  <c r="M147" i="17" s="1"/>
  <c r="K136" i="17"/>
  <c r="M136" i="17" s="1"/>
  <c r="K115" i="17"/>
  <c r="M115" i="17" s="1"/>
  <c r="K104" i="17"/>
  <c r="M104" i="17" s="1"/>
  <c r="K59" i="17"/>
  <c r="M59" i="17" s="1"/>
  <c r="K221" i="17"/>
  <c r="M221" i="17" s="1"/>
  <c r="K210" i="17"/>
  <c r="M210" i="17" s="1"/>
  <c r="K189" i="17"/>
  <c r="M189" i="17" s="1"/>
  <c r="K178" i="17"/>
  <c r="M178" i="17" s="1"/>
  <c r="K157" i="17"/>
  <c r="M157" i="17" s="1"/>
  <c r="K146" i="17"/>
  <c r="M146" i="17" s="1"/>
  <c r="K125" i="17"/>
  <c r="M125" i="17" s="1"/>
  <c r="K114" i="17"/>
  <c r="M114" i="17" s="1"/>
  <c r="F9" i="17"/>
  <c r="N187" i="17" s="1"/>
  <c r="R187" i="17" s="1"/>
  <c r="K63" i="17"/>
  <c r="K220" i="17"/>
  <c r="M220" i="17" s="1"/>
  <c r="K199" i="17"/>
  <c r="M199" i="17" s="1"/>
  <c r="K188" i="17"/>
  <c r="M188" i="17" s="1"/>
  <c r="K167" i="17"/>
  <c r="M167" i="17" s="1"/>
  <c r="K156" i="17"/>
  <c r="M156" i="17" s="1"/>
  <c r="K135" i="17"/>
  <c r="M135" i="17" s="1"/>
  <c r="K124" i="17"/>
  <c r="M124" i="17" s="1"/>
  <c r="K103" i="17"/>
  <c r="M103" i="17" s="1"/>
  <c r="M218" i="17"/>
  <c r="M186" i="17"/>
  <c r="M174" i="17"/>
  <c r="M154" i="17"/>
  <c r="M142" i="17"/>
  <c r="M122" i="17"/>
  <c r="M106" i="17"/>
  <c r="M224" i="17"/>
  <c r="M208" i="17"/>
  <c r="M192" i="17"/>
  <c r="M180" i="17"/>
  <c r="M176" i="17"/>
  <c r="M160" i="17"/>
  <c r="M152" i="17"/>
  <c r="M148" i="17"/>
  <c r="M144" i="17"/>
  <c r="M128" i="17"/>
  <c r="M120" i="17"/>
  <c r="M108" i="17"/>
  <c r="M15" i="17"/>
  <c r="M19" i="17"/>
  <c r="M55" i="17"/>
  <c r="M63" i="17"/>
  <c r="M99" i="17"/>
  <c r="K12" i="17"/>
  <c r="K16" i="17"/>
  <c r="K20" i="17"/>
  <c r="K24" i="17"/>
  <c r="K28" i="17"/>
  <c r="K32" i="17"/>
  <c r="K36" i="17"/>
  <c r="K40" i="17"/>
  <c r="K44" i="17"/>
  <c r="K48" i="17"/>
  <c r="K52" i="17"/>
  <c r="K56" i="17"/>
  <c r="K60" i="17"/>
  <c r="K64" i="17"/>
  <c r="K68" i="17"/>
  <c r="K72" i="17"/>
  <c r="K76" i="17"/>
  <c r="K80" i="17"/>
  <c r="K84" i="17"/>
  <c r="K88" i="17"/>
  <c r="K92" i="17"/>
  <c r="K96" i="17"/>
  <c r="K100" i="17"/>
  <c r="K9" i="17"/>
  <c r="K6" i="17"/>
  <c r="K13" i="17"/>
  <c r="K17" i="17"/>
  <c r="K21" i="17"/>
  <c r="K25" i="17"/>
  <c r="K29" i="17"/>
  <c r="K33" i="17"/>
  <c r="K37" i="17"/>
  <c r="K41" i="17"/>
  <c r="K45" i="17"/>
  <c r="K49" i="17"/>
  <c r="K53" i="17"/>
  <c r="K57" i="17"/>
  <c r="K61" i="17"/>
  <c r="K65" i="17"/>
  <c r="K69" i="17"/>
  <c r="K73" i="17"/>
  <c r="K77" i="17"/>
  <c r="K81" i="17"/>
  <c r="K85" i="17"/>
  <c r="K89" i="17"/>
  <c r="K93" i="17"/>
  <c r="K97" i="17"/>
  <c r="K101" i="17"/>
  <c r="F10" i="17"/>
  <c r="K7" i="17"/>
  <c r="K14" i="17"/>
  <c r="K18" i="17"/>
  <c r="K22" i="17"/>
  <c r="K26" i="17"/>
  <c r="K30" i="17"/>
  <c r="K34" i="17"/>
  <c r="K38" i="17"/>
  <c r="K42" i="17"/>
  <c r="K46" i="17"/>
  <c r="K50" i="17"/>
  <c r="K54" i="17"/>
  <c r="K58" i="17"/>
  <c r="K62" i="17"/>
  <c r="K66" i="17"/>
  <c r="K70" i="17"/>
  <c r="K74" i="17"/>
  <c r="K78" i="17"/>
  <c r="K82" i="17"/>
  <c r="K86" i="17"/>
  <c r="K90" i="17"/>
  <c r="K94" i="17"/>
  <c r="K98" i="17"/>
  <c r="K102" i="17"/>
  <c r="C11" i="16"/>
  <c r="I7" i="16"/>
  <c r="L4" i="15"/>
  <c r="L5" i="15" s="1"/>
  <c r="I12" i="15"/>
  <c r="C16" i="15"/>
  <c r="J11" i="15"/>
  <c r="Z10" i="15" s="1"/>
  <c r="Z13" i="15" s="1"/>
  <c r="Z14" i="15" s="1"/>
  <c r="P17" i="13"/>
  <c r="P21" i="13"/>
  <c r="P18" i="13"/>
  <c r="P16" i="13"/>
  <c r="P22" i="13"/>
  <c r="P20" i="13"/>
  <c r="P15" i="13"/>
  <c r="P19" i="13"/>
  <c r="P14" i="13"/>
  <c r="L3" i="14"/>
  <c r="P19" i="14" s="1"/>
  <c r="P17" i="14"/>
  <c r="P14" i="14"/>
  <c r="P11" i="14"/>
  <c r="P18" i="14"/>
  <c r="P12" i="14"/>
  <c r="J11" i="14"/>
  <c r="Z9" i="14" s="1"/>
  <c r="Z10" i="14" s="1"/>
  <c r="Z11" i="14" s="1"/>
  <c r="Z13" i="14" s="1"/>
  <c r="Z14" i="14" s="1"/>
  <c r="AB9" i="14" s="1"/>
  <c r="AB10" i="14" s="1"/>
  <c r="AB11" i="14" s="1"/>
  <c r="AB12" i="14" s="1"/>
  <c r="I12" i="14"/>
  <c r="C15" i="14"/>
  <c r="C16" i="13"/>
  <c r="I11" i="13"/>
  <c r="L3" i="12"/>
  <c r="P12" i="12" s="1"/>
  <c r="I11" i="12"/>
  <c r="J11" i="12" s="1"/>
  <c r="Z9" i="12" s="1"/>
  <c r="Z10" i="12" s="1"/>
  <c r="C16" i="12"/>
  <c r="I12" i="12" s="1"/>
  <c r="C12" i="11"/>
  <c r="C11" i="11"/>
  <c r="I7" i="11"/>
  <c r="I8" i="10"/>
  <c r="C11" i="10"/>
  <c r="J7" i="10"/>
  <c r="W5" i="10" s="1"/>
  <c r="W6" i="10" s="1"/>
  <c r="I9" i="10"/>
  <c r="C11" i="9"/>
  <c r="I7" i="9"/>
  <c r="J7" i="9" s="1"/>
  <c r="AH5" i="9" s="1"/>
  <c r="AH6" i="9" s="1"/>
  <c r="C12" i="9"/>
  <c r="J7" i="8"/>
  <c r="C12" i="8"/>
  <c r="I8" i="8" s="1"/>
  <c r="C11" i="8"/>
  <c r="J7" i="5"/>
  <c r="C11" i="5"/>
  <c r="C12" i="5"/>
  <c r="I8" i="5" s="1"/>
  <c r="N153" i="17" l="1"/>
  <c r="R153" i="17" s="1"/>
  <c r="N178" i="17"/>
  <c r="R178" i="17" s="1"/>
  <c r="N221" i="17"/>
  <c r="R221" i="17" s="1"/>
  <c r="N144" i="17"/>
  <c r="R144" i="17" s="1"/>
  <c r="N168" i="17"/>
  <c r="R168" i="17" s="1"/>
  <c r="N180" i="17"/>
  <c r="R180" i="17" s="1"/>
  <c r="N212" i="17"/>
  <c r="R212" i="17" s="1"/>
  <c r="N117" i="17"/>
  <c r="R117" i="17" s="1"/>
  <c r="N132" i="17"/>
  <c r="R132" i="17" s="1"/>
  <c r="N136" i="17"/>
  <c r="R136" i="17" s="1"/>
  <c r="N220" i="17"/>
  <c r="R220" i="17" s="1"/>
  <c r="N166" i="17"/>
  <c r="R166" i="17" s="1"/>
  <c r="N224" i="17"/>
  <c r="R224" i="17" s="1"/>
  <c r="N174" i="17"/>
  <c r="R174" i="17" s="1"/>
  <c r="N148" i="17"/>
  <c r="R148" i="17" s="1"/>
  <c r="N198" i="17"/>
  <c r="R198" i="17" s="1"/>
  <c r="N202" i="17"/>
  <c r="R202" i="17" s="1"/>
  <c r="N172" i="17"/>
  <c r="R172" i="17" s="1"/>
  <c r="N194" i="17"/>
  <c r="R194" i="17" s="1"/>
  <c r="N109" i="17"/>
  <c r="R109" i="17" s="1"/>
  <c r="N133" i="17"/>
  <c r="R133" i="17" s="1"/>
  <c r="N112" i="17"/>
  <c r="R112" i="17" s="1"/>
  <c r="N188" i="17"/>
  <c r="R188" i="17" s="1"/>
  <c r="N192" i="17"/>
  <c r="R192" i="17" s="1"/>
  <c r="N120" i="17"/>
  <c r="R120" i="17" s="1"/>
  <c r="N196" i="17"/>
  <c r="R196" i="17" s="1"/>
  <c r="N222" i="17"/>
  <c r="R222" i="17" s="1"/>
  <c r="N124" i="17"/>
  <c r="R124" i="17" s="1"/>
  <c r="N217" i="17"/>
  <c r="R217" i="17" s="1"/>
  <c r="N128" i="17"/>
  <c r="R128" i="17" s="1"/>
  <c r="N204" i="17"/>
  <c r="R204" i="17" s="1"/>
  <c r="N173" i="17"/>
  <c r="R173" i="17" s="1"/>
  <c r="N223" i="17"/>
  <c r="R223" i="17" s="1"/>
  <c r="N189" i="17"/>
  <c r="R189" i="17" s="1"/>
  <c r="N145" i="17"/>
  <c r="R145" i="17" s="1"/>
  <c r="N208" i="17"/>
  <c r="R208" i="17" s="1"/>
  <c r="N182" i="17"/>
  <c r="R182" i="17" s="1"/>
  <c r="N183" i="17"/>
  <c r="R183" i="17" s="1"/>
  <c r="F11" i="17"/>
  <c r="F12" i="17" s="1"/>
  <c r="L172" i="17" s="1"/>
  <c r="N160" i="17"/>
  <c r="R160" i="17" s="1"/>
  <c r="N186" i="17"/>
  <c r="R186" i="17" s="1"/>
  <c r="N185" i="17"/>
  <c r="R185" i="17" s="1"/>
  <c r="N137" i="17"/>
  <c r="R137" i="17" s="1"/>
  <c r="N170" i="17"/>
  <c r="R170" i="17" s="1"/>
  <c r="N216" i="17"/>
  <c r="R216" i="17" s="1"/>
  <c r="N161" i="17"/>
  <c r="R161" i="17" s="1"/>
  <c r="M140" i="17"/>
  <c r="N140" i="17" s="1"/>
  <c r="R140" i="17" s="1"/>
  <c r="N211" i="17"/>
  <c r="R211" i="17" s="1"/>
  <c r="N116" i="17"/>
  <c r="R116" i="17" s="1"/>
  <c r="N169" i="17"/>
  <c r="R169" i="17" s="1"/>
  <c r="N205" i="17"/>
  <c r="R205" i="17" s="1"/>
  <c r="N171" i="17"/>
  <c r="R171" i="17" s="1"/>
  <c r="N200" i="17"/>
  <c r="R200" i="17" s="1"/>
  <c r="N207" i="17"/>
  <c r="R207" i="17" s="1"/>
  <c r="N195" i="17"/>
  <c r="R195" i="17" s="1"/>
  <c r="N209" i="17"/>
  <c r="R209" i="17" s="1"/>
  <c r="N197" i="17"/>
  <c r="R197" i="17" s="1"/>
  <c r="N125" i="17"/>
  <c r="R125" i="17" s="1"/>
  <c r="N167" i="17"/>
  <c r="R167" i="17" s="1"/>
  <c r="N152" i="17"/>
  <c r="R152" i="17" s="1"/>
  <c r="N190" i="17"/>
  <c r="R190" i="17" s="1"/>
  <c r="N181" i="17"/>
  <c r="R181" i="17" s="1"/>
  <c r="N219" i="17"/>
  <c r="R219" i="17" s="1"/>
  <c r="N141" i="17"/>
  <c r="R141" i="17" s="1"/>
  <c r="N156" i="17"/>
  <c r="R156" i="17" s="1"/>
  <c r="N203" i="17"/>
  <c r="R203" i="17" s="1"/>
  <c r="N165" i="17"/>
  <c r="R165" i="17" s="1"/>
  <c r="N149" i="17"/>
  <c r="R149" i="17" s="1"/>
  <c r="N175" i="17"/>
  <c r="R175" i="17" s="1"/>
  <c r="N191" i="17"/>
  <c r="R191" i="17" s="1"/>
  <c r="N157" i="17"/>
  <c r="R157" i="17" s="1"/>
  <c r="N164" i="17"/>
  <c r="R164" i="17" s="1"/>
  <c r="N179" i="17"/>
  <c r="R179" i="17" s="1"/>
  <c r="N104" i="17"/>
  <c r="R104" i="17" s="1"/>
  <c r="N206" i="17"/>
  <c r="R206" i="17" s="1"/>
  <c r="N105" i="17"/>
  <c r="R105" i="17" s="1"/>
  <c r="N163" i="17"/>
  <c r="R163" i="17" s="1"/>
  <c r="N193" i="17"/>
  <c r="R193" i="17" s="1"/>
  <c r="N108" i="17"/>
  <c r="R108" i="17" s="1"/>
  <c r="N184" i="17"/>
  <c r="R184" i="17" s="1"/>
  <c r="N210" i="17"/>
  <c r="R210" i="17" s="1"/>
  <c r="N113" i="17"/>
  <c r="R113" i="17" s="1"/>
  <c r="N177" i="17"/>
  <c r="R177" i="17" s="1"/>
  <c r="N215" i="17"/>
  <c r="R215" i="17" s="1"/>
  <c r="N201" i="17"/>
  <c r="R201" i="17" s="1"/>
  <c r="N214" i="17"/>
  <c r="R214" i="17" s="1"/>
  <c r="N121" i="17"/>
  <c r="R121" i="17" s="1"/>
  <c r="N199" i="17"/>
  <c r="R199" i="17" s="1"/>
  <c r="N176" i="17"/>
  <c r="R176" i="17" s="1"/>
  <c r="N218" i="17"/>
  <c r="R218" i="17" s="1"/>
  <c r="N129" i="17"/>
  <c r="R129" i="17" s="1"/>
  <c r="N213" i="17"/>
  <c r="R213" i="17" s="1"/>
  <c r="L191" i="17"/>
  <c r="L194" i="17"/>
  <c r="L110" i="17"/>
  <c r="N110" i="17" s="1"/>
  <c r="R110" i="17" s="1"/>
  <c r="L217" i="17"/>
  <c r="L128" i="17"/>
  <c r="L140" i="17"/>
  <c r="L214" i="17"/>
  <c r="L148" i="17"/>
  <c r="L109" i="17"/>
  <c r="L208" i="17"/>
  <c r="L156" i="17"/>
  <c r="L190" i="17"/>
  <c r="L125" i="17"/>
  <c r="L150" i="17"/>
  <c r="N150" i="17" s="1"/>
  <c r="R150" i="17" s="1"/>
  <c r="L105" i="17"/>
  <c r="L204" i="17"/>
  <c r="L160" i="17"/>
  <c r="L218" i="17"/>
  <c r="L134" i="17"/>
  <c r="N134" i="17" s="1"/>
  <c r="R134" i="17" s="1"/>
  <c r="L123" i="17"/>
  <c r="N123" i="17" s="1"/>
  <c r="R123" i="17" s="1"/>
  <c r="L185" i="17"/>
  <c r="L149" i="17"/>
  <c r="L213" i="17"/>
  <c r="L206" i="17"/>
  <c r="L147" i="17"/>
  <c r="N147" i="17" s="1"/>
  <c r="R147" i="17" s="1"/>
  <c r="L220" i="17"/>
  <c r="L158" i="17"/>
  <c r="N158" i="17" s="1"/>
  <c r="R158" i="17" s="1"/>
  <c r="L103" i="17"/>
  <c r="N103" i="17" s="1"/>
  <c r="R103" i="17" s="1"/>
  <c r="L181" i="17"/>
  <c r="L153" i="17"/>
  <c r="L163" i="17"/>
  <c r="L180" i="17"/>
  <c r="L165" i="17"/>
  <c r="L224" i="17"/>
  <c r="L108" i="17"/>
  <c r="L193" i="17"/>
  <c r="L173" i="17"/>
  <c r="L154" i="17"/>
  <c r="N154" i="17" s="1"/>
  <c r="R154" i="17" s="1"/>
  <c r="L177" i="17"/>
  <c r="L116" i="17"/>
  <c r="L207" i="17"/>
  <c r="L186" i="17"/>
  <c r="L6" i="17"/>
  <c r="L67" i="17"/>
  <c r="N67" i="17" s="1"/>
  <c r="R67" i="17" s="1"/>
  <c r="L63" i="17"/>
  <c r="N63" i="17" s="1"/>
  <c r="R63" i="17" s="1"/>
  <c r="L59" i="17"/>
  <c r="N59" i="17" s="1"/>
  <c r="R59" i="17" s="1"/>
  <c r="L35" i="17"/>
  <c r="N35" i="17" s="1"/>
  <c r="R35" i="17" s="1"/>
  <c r="L31" i="17"/>
  <c r="N31" i="17" s="1"/>
  <c r="R31" i="17" s="1"/>
  <c r="L27" i="17"/>
  <c r="N27" i="17" s="1"/>
  <c r="R27" i="17" s="1"/>
  <c r="L23" i="17"/>
  <c r="N23" i="17" s="1"/>
  <c r="R23" i="17" s="1"/>
  <c r="L19" i="17"/>
  <c r="N19" i="17" s="1"/>
  <c r="R19" i="17" s="1"/>
  <c r="L15" i="17"/>
  <c r="N15" i="17" s="1"/>
  <c r="R15" i="17" s="1"/>
  <c r="L8" i="17"/>
  <c r="N8" i="17" s="1"/>
  <c r="R8" i="17" s="1"/>
  <c r="L87" i="17"/>
  <c r="N87" i="17" s="1"/>
  <c r="R87" i="17" s="1"/>
  <c r="L64" i="17"/>
  <c r="L61" i="17"/>
  <c r="L46" i="17"/>
  <c r="L68" i="17"/>
  <c r="L95" i="17"/>
  <c r="N95" i="17" s="1"/>
  <c r="R95" i="17" s="1"/>
  <c r="L72" i="17"/>
  <c r="L69" i="17"/>
  <c r="L99" i="17"/>
  <c r="N99" i="17" s="1"/>
  <c r="R99" i="17" s="1"/>
  <c r="L12" i="17"/>
  <c r="N12" i="17" s="1"/>
  <c r="R12" i="17" s="1"/>
  <c r="L76" i="17"/>
  <c r="L73" i="17"/>
  <c r="L70" i="17"/>
  <c r="L16" i="17"/>
  <c r="L80" i="17"/>
  <c r="L13" i="17"/>
  <c r="L74" i="17"/>
  <c r="L81" i="17"/>
  <c r="L14" i="17"/>
  <c r="L82" i="17"/>
  <c r="L30" i="17"/>
  <c r="L37" i="17"/>
  <c r="L83" i="17"/>
  <c r="N83" i="17" s="1"/>
  <c r="R83" i="17" s="1"/>
  <c r="L102" i="17"/>
  <c r="L20" i="17"/>
  <c r="L84" i="17"/>
  <c r="L17" i="17"/>
  <c r="L34" i="17"/>
  <c r="L38" i="17"/>
  <c r="L42" i="17"/>
  <c r="L88" i="17"/>
  <c r="L21" i="17"/>
  <c r="L85" i="17"/>
  <c r="L9" i="17"/>
  <c r="N9" i="17" s="1"/>
  <c r="R9" i="17" s="1"/>
  <c r="L28" i="17"/>
  <c r="L92" i="17"/>
  <c r="L25" i="17"/>
  <c r="N25" i="17" s="1"/>
  <c r="R25" i="17" s="1"/>
  <c r="L89" i="17"/>
  <c r="L22" i="17"/>
  <c r="L86" i="17"/>
  <c r="L93" i="17"/>
  <c r="L26" i="17"/>
  <c r="L90" i="17"/>
  <c r="L33" i="17"/>
  <c r="L101" i="17"/>
  <c r="L50" i="17"/>
  <c r="L57" i="17"/>
  <c r="L32" i="17"/>
  <c r="L96" i="17"/>
  <c r="L29" i="17"/>
  <c r="L45" i="17"/>
  <c r="L60" i="17"/>
  <c r="L36" i="17"/>
  <c r="L100" i="17"/>
  <c r="L97" i="17"/>
  <c r="L94" i="17"/>
  <c r="L40" i="17"/>
  <c r="L98" i="17"/>
  <c r="L7" i="17"/>
  <c r="L44" i="17"/>
  <c r="L41" i="17"/>
  <c r="L71" i="17"/>
  <c r="N71" i="17" s="1"/>
  <c r="R71" i="17" s="1"/>
  <c r="L48" i="17"/>
  <c r="L54" i="17"/>
  <c r="N54" i="17" s="1"/>
  <c r="R54" i="17" s="1"/>
  <c r="L75" i="17"/>
  <c r="N75" i="17" s="1"/>
  <c r="R75" i="17" s="1"/>
  <c r="L52" i="17"/>
  <c r="L49" i="17"/>
  <c r="L79" i="17"/>
  <c r="N79" i="17" s="1"/>
  <c r="R79" i="17" s="1"/>
  <c r="L56" i="17"/>
  <c r="N56" i="17" s="1"/>
  <c r="R56" i="17" s="1"/>
  <c r="L53" i="17"/>
  <c r="N53" i="17" s="1"/>
  <c r="R53" i="17" s="1"/>
  <c r="M14" i="17"/>
  <c r="M85" i="17"/>
  <c r="M21" i="17"/>
  <c r="M88" i="17"/>
  <c r="N88" i="17" s="1"/>
  <c r="R88" i="17" s="1"/>
  <c r="M24" i="17"/>
  <c r="M74" i="17"/>
  <c r="M81" i="17"/>
  <c r="N81" i="17" s="1"/>
  <c r="R81" i="17" s="1"/>
  <c r="M17" i="17"/>
  <c r="M84" i="17"/>
  <c r="N84" i="17" s="1"/>
  <c r="R84" i="17" s="1"/>
  <c r="M20" i="17"/>
  <c r="M70" i="17"/>
  <c r="M77" i="17"/>
  <c r="M13" i="17"/>
  <c r="M80" i="17"/>
  <c r="N80" i="17" s="1"/>
  <c r="R80" i="17" s="1"/>
  <c r="M16" i="17"/>
  <c r="M28" i="17"/>
  <c r="M76" i="17"/>
  <c r="M12" i="17"/>
  <c r="M18" i="17"/>
  <c r="M69" i="17"/>
  <c r="N69" i="17" s="1"/>
  <c r="R69" i="17" s="1"/>
  <c r="M6" i="17"/>
  <c r="M72" i="17"/>
  <c r="M25" i="17"/>
  <c r="M73" i="17"/>
  <c r="M65" i="17"/>
  <c r="M68" i="17"/>
  <c r="M62" i="17"/>
  <c r="M54" i="17"/>
  <c r="M61" i="17"/>
  <c r="M64" i="17"/>
  <c r="M7" i="17"/>
  <c r="M58" i="17"/>
  <c r="M50" i="17"/>
  <c r="M57" i="17"/>
  <c r="M60" i="17"/>
  <c r="M46" i="17"/>
  <c r="M53" i="17"/>
  <c r="M56" i="17"/>
  <c r="M78" i="17"/>
  <c r="M42" i="17"/>
  <c r="M49" i="17"/>
  <c r="M52" i="17"/>
  <c r="M66" i="17"/>
  <c r="M102" i="17"/>
  <c r="N102" i="17" s="1"/>
  <c r="R102" i="17" s="1"/>
  <c r="M38" i="17"/>
  <c r="M45" i="17"/>
  <c r="M48" i="17"/>
  <c r="M82" i="17"/>
  <c r="N82" i="17" s="1"/>
  <c r="R82" i="17" s="1"/>
  <c r="M41" i="17"/>
  <c r="M44" i="17"/>
  <c r="M94" i="17"/>
  <c r="N94" i="17" s="1"/>
  <c r="R94" i="17" s="1"/>
  <c r="M101" i="17"/>
  <c r="M37" i="17"/>
  <c r="M9" i="17"/>
  <c r="M40" i="17"/>
  <c r="M92" i="17"/>
  <c r="N92" i="17" s="1"/>
  <c r="R92" i="17" s="1"/>
  <c r="M34" i="17"/>
  <c r="M26" i="17"/>
  <c r="M97" i="17"/>
  <c r="M33" i="17"/>
  <c r="M100" i="17"/>
  <c r="N100" i="17" s="1"/>
  <c r="R100" i="17" s="1"/>
  <c r="M36" i="17"/>
  <c r="M89" i="17"/>
  <c r="N89" i="17" s="1"/>
  <c r="R89" i="17" s="1"/>
  <c r="M98" i="17"/>
  <c r="N98" i="17" s="1"/>
  <c r="R98" i="17" s="1"/>
  <c r="M30" i="17"/>
  <c r="N30" i="17" s="1"/>
  <c r="R30" i="17" s="1"/>
  <c r="M90" i="17"/>
  <c r="N90" i="17" s="1"/>
  <c r="R90" i="17" s="1"/>
  <c r="M86" i="17"/>
  <c r="M22" i="17"/>
  <c r="M93" i="17"/>
  <c r="N93" i="17" s="1"/>
  <c r="R93" i="17" s="1"/>
  <c r="M29" i="17"/>
  <c r="M96" i="17"/>
  <c r="M32" i="17"/>
  <c r="J7" i="16"/>
  <c r="AH5" i="16" s="1"/>
  <c r="AH6" i="16" s="1"/>
  <c r="I8" i="16"/>
  <c r="AB10" i="15"/>
  <c r="AD9" i="15"/>
  <c r="AD10" i="15" s="1"/>
  <c r="AF9" i="15"/>
  <c r="AF10" i="15" s="1"/>
  <c r="I13" i="15"/>
  <c r="K11" i="15"/>
  <c r="P15" i="14"/>
  <c r="L4" i="14"/>
  <c r="L5" i="14" s="1"/>
  <c r="P13" i="14"/>
  <c r="P22" i="14"/>
  <c r="P20" i="14"/>
  <c r="P16" i="14"/>
  <c r="P21" i="14"/>
  <c r="I13" i="14"/>
  <c r="K11" i="14"/>
  <c r="J11" i="13"/>
  <c r="Z9" i="13" s="1"/>
  <c r="Z10" i="13" s="1"/>
  <c r="Z13" i="13" s="1"/>
  <c r="Z14" i="13" s="1"/>
  <c r="AB9" i="13" s="1"/>
  <c r="AB10" i="13" s="1"/>
  <c r="AB12" i="13" s="1"/>
  <c r="I12" i="13"/>
  <c r="K11" i="13"/>
  <c r="P19" i="12"/>
  <c r="L4" i="12"/>
  <c r="P13" i="12"/>
  <c r="P15" i="12"/>
  <c r="P14" i="12"/>
  <c r="P18" i="12"/>
  <c r="P20" i="12"/>
  <c r="P16" i="12"/>
  <c r="P11" i="12"/>
  <c r="P21" i="12"/>
  <c r="P22" i="12"/>
  <c r="P17" i="12"/>
  <c r="I13" i="12"/>
  <c r="K11" i="12"/>
  <c r="J7" i="11"/>
  <c r="I8" i="11"/>
  <c r="K7" i="10"/>
  <c r="L7" i="10" s="1"/>
  <c r="I10" i="10"/>
  <c r="I8" i="9"/>
  <c r="I9" i="9" s="1"/>
  <c r="K7" i="9"/>
  <c r="I9" i="8"/>
  <c r="X5" i="8"/>
  <c r="X6" i="8" s="1"/>
  <c r="K7" i="8"/>
  <c r="L7" i="8" s="1"/>
  <c r="M7" i="8" s="1"/>
  <c r="U5" i="5"/>
  <c r="U6" i="5" s="1"/>
  <c r="K7" i="5"/>
  <c r="L7" i="5" s="1"/>
  <c r="M7" i="5" s="1"/>
  <c r="N7" i="5" s="1"/>
  <c r="I9" i="5"/>
  <c r="L142" i="17" l="1"/>
  <c r="N142" i="17" s="1"/>
  <c r="R142" i="17" s="1"/>
  <c r="L138" i="17"/>
  <c r="N138" i="17" s="1"/>
  <c r="R138" i="17" s="1"/>
  <c r="L113" i="17"/>
  <c r="L132" i="17"/>
  <c r="L66" i="17"/>
  <c r="L10" i="17"/>
  <c r="N10" i="17" s="1"/>
  <c r="R10" i="17" s="1"/>
  <c r="L130" i="17"/>
  <c r="N130" i="17" s="1"/>
  <c r="R130" i="17" s="1"/>
  <c r="L115" i="17"/>
  <c r="N115" i="17" s="1"/>
  <c r="R115" i="17" s="1"/>
  <c r="L151" i="17"/>
  <c r="N151" i="17" s="1"/>
  <c r="R151" i="17" s="1"/>
  <c r="L58" i="17"/>
  <c r="L209" i="17"/>
  <c r="L145" i="17"/>
  <c r="L219" i="17"/>
  <c r="L182" i="17"/>
  <c r="L18" i="17"/>
  <c r="N18" i="17" s="1"/>
  <c r="R18" i="17" s="1"/>
  <c r="L78" i="17"/>
  <c r="L62" i="17"/>
  <c r="L39" i="17"/>
  <c r="N39" i="17" s="1"/>
  <c r="R39" i="17" s="1"/>
  <c r="L146" i="17"/>
  <c r="N146" i="17" s="1"/>
  <c r="R146" i="17" s="1"/>
  <c r="L122" i="17"/>
  <c r="N122" i="17" s="1"/>
  <c r="R122" i="17" s="1"/>
  <c r="L152" i="17"/>
  <c r="L124" i="17"/>
  <c r="L161" i="17"/>
  <c r="L137" i="17"/>
  <c r="L197" i="17"/>
  <c r="L176" i="17"/>
  <c r="L120" i="17"/>
  <c r="L24" i="17"/>
  <c r="N24" i="17" s="1"/>
  <c r="R24" i="17" s="1"/>
  <c r="L77" i="17"/>
  <c r="L65" i="17"/>
  <c r="N65" i="17" s="1"/>
  <c r="R65" i="17" s="1"/>
  <c r="L11" i="17"/>
  <c r="N11" i="17" s="1"/>
  <c r="R11" i="17" s="1"/>
  <c r="L178" i="17"/>
  <c r="L157" i="17"/>
  <c r="L223" i="17"/>
  <c r="L121" i="17"/>
  <c r="L135" i="17"/>
  <c r="N135" i="17" s="1"/>
  <c r="R135" i="17" s="1"/>
  <c r="L119" i="17"/>
  <c r="N119" i="17" s="1"/>
  <c r="R119" i="17" s="1"/>
  <c r="L215" i="17"/>
  <c r="L210" i="17"/>
  <c r="L91" i="17"/>
  <c r="N91" i="17" s="1"/>
  <c r="R91" i="17" s="1"/>
  <c r="L43" i="17"/>
  <c r="N43" i="17" s="1"/>
  <c r="R43" i="17" s="1"/>
  <c r="L168" i="17"/>
  <c r="L187" i="17"/>
  <c r="L192" i="17"/>
  <c r="L216" i="17"/>
  <c r="L221" i="17"/>
  <c r="L118" i="17"/>
  <c r="N118" i="17" s="1"/>
  <c r="R118" i="17" s="1"/>
  <c r="N73" i="17"/>
  <c r="R73" i="17" s="1"/>
  <c r="L47" i="17"/>
  <c r="N47" i="17" s="1"/>
  <c r="R47" i="17" s="1"/>
  <c r="L126" i="17"/>
  <c r="N126" i="17" s="1"/>
  <c r="R126" i="17" s="1"/>
  <c r="L164" i="17"/>
  <c r="L131" i="17"/>
  <c r="N131" i="17" s="1"/>
  <c r="R131" i="17" s="1"/>
  <c r="L133" i="17"/>
  <c r="L183" i="17"/>
  <c r="L189" i="17"/>
  <c r="L51" i="17"/>
  <c r="N51" i="17" s="1"/>
  <c r="R51" i="17" s="1"/>
  <c r="L127" i="17"/>
  <c r="N127" i="17" s="1"/>
  <c r="R127" i="17" s="1"/>
  <c r="L200" i="17"/>
  <c r="L106" i="17"/>
  <c r="N106" i="17" s="1"/>
  <c r="R106" i="17" s="1"/>
  <c r="L171" i="17"/>
  <c r="L211" i="17"/>
  <c r="L202" i="17"/>
  <c r="L55" i="17"/>
  <c r="N55" i="17" s="1"/>
  <c r="R55" i="17" s="1"/>
  <c r="L201" i="17"/>
  <c r="L155" i="17"/>
  <c r="N155" i="17" s="1"/>
  <c r="R155" i="17" s="1"/>
  <c r="L222" i="17"/>
  <c r="L170" i="17"/>
  <c r="L166" i="17"/>
  <c r="L205" i="17"/>
  <c r="N70" i="17"/>
  <c r="R70" i="17" s="1"/>
  <c r="N64" i="17"/>
  <c r="R64" i="17" s="1"/>
  <c r="N37" i="17"/>
  <c r="R37" i="17" s="1"/>
  <c r="L179" i="17"/>
  <c r="L199" i="17"/>
  <c r="L107" i="17"/>
  <c r="N107" i="17" s="1"/>
  <c r="R107" i="17" s="1"/>
  <c r="L174" i="17"/>
  <c r="L104" i="17"/>
  <c r="L114" i="17"/>
  <c r="N114" i="17" s="1"/>
  <c r="R114" i="17" s="1"/>
  <c r="L111" i="17"/>
  <c r="N111" i="17" s="1"/>
  <c r="R111" i="17" s="1"/>
  <c r="L136" i="17"/>
  <c r="L196" i="17"/>
  <c r="N66" i="17"/>
  <c r="R66" i="17" s="1"/>
  <c r="L203" i="17"/>
  <c r="L141" i="17"/>
  <c r="L117" i="17"/>
  <c r="L159" i="17"/>
  <c r="N159" i="17" s="1"/>
  <c r="R159" i="17" s="1"/>
  <c r="L198" i="17"/>
  <c r="L167" i="17"/>
  <c r="N16" i="17"/>
  <c r="R16" i="17" s="1"/>
  <c r="L195" i="17"/>
  <c r="L143" i="17"/>
  <c r="N143" i="17" s="1"/>
  <c r="R143" i="17" s="1"/>
  <c r="L184" i="17"/>
  <c r="L169" i="17"/>
  <c r="L188" i="17"/>
  <c r="L162" i="17"/>
  <c r="N162" i="17" s="1"/>
  <c r="R162" i="17" s="1"/>
  <c r="L129" i="17"/>
  <c r="L175" i="17"/>
  <c r="L212" i="17"/>
  <c r="L144" i="17"/>
  <c r="L112" i="17"/>
  <c r="L139" i="17"/>
  <c r="N139" i="17" s="1"/>
  <c r="R139" i="17" s="1"/>
  <c r="N36" i="17"/>
  <c r="R36" i="17" s="1"/>
  <c r="N49" i="17"/>
  <c r="R49" i="17" s="1"/>
  <c r="N45" i="17"/>
  <c r="R45" i="17" s="1"/>
  <c r="N28" i="17"/>
  <c r="R28" i="17" s="1"/>
  <c r="N52" i="17"/>
  <c r="R52" i="17" s="1"/>
  <c r="N29" i="17"/>
  <c r="R29" i="17" s="1"/>
  <c r="N14" i="17"/>
  <c r="R14" i="17" s="1"/>
  <c r="N68" i="17"/>
  <c r="R68" i="17" s="1"/>
  <c r="N21" i="17"/>
  <c r="R21" i="17" s="1"/>
  <c r="N85" i="17"/>
  <c r="R85" i="17" s="1"/>
  <c r="N60" i="17"/>
  <c r="R60" i="17" s="1"/>
  <c r="N72" i="17"/>
  <c r="R72" i="17" s="1"/>
  <c r="N96" i="17"/>
  <c r="R96" i="17" s="1"/>
  <c r="N78" i="17"/>
  <c r="R78" i="17" s="1"/>
  <c r="N62" i="17"/>
  <c r="R62" i="17" s="1"/>
  <c r="N32" i="17"/>
  <c r="R32" i="17" s="1"/>
  <c r="N48" i="17"/>
  <c r="R48" i="17" s="1"/>
  <c r="N57" i="17"/>
  <c r="R57" i="17" s="1"/>
  <c r="N50" i="17"/>
  <c r="R50" i="17" s="1"/>
  <c r="N74" i="17"/>
  <c r="R74" i="17" s="1"/>
  <c r="N46" i="17"/>
  <c r="R46" i="17" s="1"/>
  <c r="N101" i="17"/>
  <c r="R101" i="17" s="1"/>
  <c r="N77" i="17"/>
  <c r="R77" i="17" s="1"/>
  <c r="N44" i="17"/>
  <c r="R44" i="17" s="1"/>
  <c r="N33" i="17"/>
  <c r="R33" i="17" s="1"/>
  <c r="N42" i="17"/>
  <c r="R42" i="17" s="1"/>
  <c r="N13" i="17"/>
  <c r="R13" i="17" s="1"/>
  <c r="N7" i="17"/>
  <c r="R7" i="17" s="1"/>
  <c r="N58" i="17"/>
  <c r="R58" i="17" s="1"/>
  <c r="N26" i="17"/>
  <c r="R26" i="17" s="1"/>
  <c r="N34" i="17"/>
  <c r="R34" i="17" s="1"/>
  <c r="N38" i="17"/>
  <c r="R38" i="17" s="1"/>
  <c r="N40" i="17"/>
  <c r="R40" i="17" s="1"/>
  <c r="N17" i="17"/>
  <c r="R17" i="17" s="1"/>
  <c r="N41" i="17"/>
  <c r="R41" i="17" s="1"/>
  <c r="N86" i="17"/>
  <c r="R86" i="17" s="1"/>
  <c r="N97" i="17"/>
  <c r="R97" i="17" s="1"/>
  <c r="N22" i="17"/>
  <c r="R22" i="17" s="1"/>
  <c r="N20" i="17"/>
  <c r="R20" i="17" s="1"/>
  <c r="N6" i="17"/>
  <c r="R6" i="17" s="1"/>
  <c r="N61" i="17"/>
  <c r="R61" i="17" s="1"/>
  <c r="N76" i="17"/>
  <c r="R76" i="17" s="1"/>
  <c r="K7" i="16"/>
  <c r="I9" i="16"/>
  <c r="L11" i="15"/>
  <c r="M11" i="15" s="1"/>
  <c r="I14" i="15"/>
  <c r="L11" i="14"/>
  <c r="M11" i="14" s="1"/>
  <c r="I14" i="14"/>
  <c r="L11" i="13"/>
  <c r="M11" i="13" s="1"/>
  <c r="I13" i="13"/>
  <c r="L5" i="12"/>
  <c r="M11" i="12"/>
  <c r="I14" i="12"/>
  <c r="I9" i="11"/>
  <c r="AM5" i="11"/>
  <c r="AM6" i="11" s="1"/>
  <c r="K7" i="11"/>
  <c r="I11" i="10"/>
  <c r="N7" i="10"/>
  <c r="O7" i="10" s="1"/>
  <c r="M7" i="10"/>
  <c r="L7" i="9"/>
  <c r="Y7" i="9" s="1"/>
  <c r="N7" i="9"/>
  <c r="O7" i="9"/>
  <c r="P7" i="9" s="1"/>
  <c r="I10" i="9"/>
  <c r="O7" i="8"/>
  <c r="P7" i="8" s="1"/>
  <c r="Q7" i="8" s="1"/>
  <c r="R7" i="8" s="1"/>
  <c r="S7" i="8" s="1"/>
  <c r="H8" i="8" s="1"/>
  <c r="J8" i="8" s="1"/>
  <c r="K8" i="8" s="1"/>
  <c r="L8" i="8" s="1"/>
  <c r="M8" i="8" s="1"/>
  <c r="N7" i="8"/>
  <c r="I10" i="8"/>
  <c r="O7" i="5"/>
  <c r="P7" i="5" s="1"/>
  <c r="Q7" i="5" s="1"/>
  <c r="H8" i="5" s="1"/>
  <c r="U7" i="5"/>
  <c r="U9" i="5" s="1"/>
  <c r="U10" i="5" s="1"/>
  <c r="W5" i="5" s="1"/>
  <c r="W6" i="5" s="1"/>
  <c r="W7" i="5" s="1"/>
  <c r="W8" i="5" s="1"/>
  <c r="I10" i="5"/>
  <c r="I10" i="16" l="1"/>
  <c r="N7" i="16"/>
  <c r="L7" i="16"/>
  <c r="Q11" i="15"/>
  <c r="T11" i="15" s="1"/>
  <c r="U11" i="15" s="1"/>
  <c r="H12" i="15" s="1"/>
  <c r="I15" i="15"/>
  <c r="O11" i="14"/>
  <c r="N11" i="14"/>
  <c r="Q11" i="14" s="1"/>
  <c r="R11" i="14" s="1"/>
  <c r="S11" i="14" s="1"/>
  <c r="T11" i="14" s="1"/>
  <c r="U11" i="14" s="1"/>
  <c r="H12" i="14" s="1"/>
  <c r="I15" i="14"/>
  <c r="N11" i="12"/>
  <c r="Q11" i="13"/>
  <c r="I14" i="13"/>
  <c r="O11" i="12"/>
  <c r="Q11" i="12"/>
  <c r="R11" i="12" s="1"/>
  <c r="S11" i="12" s="1"/>
  <c r="I15" i="12"/>
  <c r="L7" i="11"/>
  <c r="I10" i="11"/>
  <c r="P7" i="10"/>
  <c r="Q7" i="10" s="1"/>
  <c r="R7" i="10" s="1"/>
  <c r="H8" i="10" s="1"/>
  <c r="W7" i="10"/>
  <c r="W9" i="10" s="1"/>
  <c r="W10" i="10" s="1"/>
  <c r="Y5" i="10" s="1"/>
  <c r="Y6" i="10" s="1"/>
  <c r="Y7" i="10" s="1"/>
  <c r="Y8" i="10" s="1"/>
  <c r="I12" i="10"/>
  <c r="M7" i="9"/>
  <c r="Q7" i="9" s="1"/>
  <c r="R7" i="9"/>
  <c r="I11" i="9"/>
  <c r="O8" i="8"/>
  <c r="P8" i="8" s="1"/>
  <c r="Q8" i="8" s="1"/>
  <c r="R8" i="8" s="1"/>
  <c r="S8" i="8" s="1"/>
  <c r="H9" i="8" s="1"/>
  <c r="J9" i="8" s="1"/>
  <c r="K9" i="8" s="1"/>
  <c r="L9" i="8" s="1"/>
  <c r="M9" i="8" s="1"/>
  <c r="N8" i="8"/>
  <c r="X7" i="8"/>
  <c r="X9" i="8" s="1"/>
  <c r="X10" i="8" s="1"/>
  <c r="Z5" i="8" s="1"/>
  <c r="Z6" i="8" s="1"/>
  <c r="Z7" i="8" s="1"/>
  <c r="Z8" i="8" s="1"/>
  <c r="I11" i="8"/>
  <c r="J8" i="5"/>
  <c r="K8" i="5"/>
  <c r="L8" i="5" s="1"/>
  <c r="M8" i="5" s="1"/>
  <c r="N8" i="5" s="1"/>
  <c r="O8" i="5" s="1"/>
  <c r="P8" i="5" s="1"/>
  <c r="Q8" i="5" s="1"/>
  <c r="H9" i="5" s="1"/>
  <c r="J9" i="5" s="1"/>
  <c r="K9" i="5" s="1"/>
  <c r="I11" i="5"/>
  <c r="M7" i="16" l="1"/>
  <c r="Y7" i="16"/>
  <c r="R7" i="16"/>
  <c r="O7" i="16"/>
  <c r="P7" i="16" s="1"/>
  <c r="I11" i="16"/>
  <c r="I16" i="15"/>
  <c r="J12" i="15"/>
  <c r="K12" i="15" s="1"/>
  <c r="R11" i="13"/>
  <c r="S11" i="13" s="1"/>
  <c r="T11" i="13" s="1"/>
  <c r="U11" i="13" s="1"/>
  <c r="H12" i="13" s="1"/>
  <c r="J12" i="13" s="1"/>
  <c r="K12" i="13" s="1"/>
  <c r="J12" i="14"/>
  <c r="K12" i="14" s="1"/>
  <c r="I16" i="14"/>
  <c r="I15" i="13"/>
  <c r="I16" i="12"/>
  <c r="M7" i="11"/>
  <c r="O7" i="11"/>
  <c r="I11" i="11"/>
  <c r="I13" i="10"/>
  <c r="J8" i="10"/>
  <c r="K8" i="10" s="1"/>
  <c r="L8" i="10" s="1"/>
  <c r="S7" i="9"/>
  <c r="U7" i="9" s="1"/>
  <c r="V7" i="9"/>
  <c r="W7" i="9" s="1"/>
  <c r="Z7" i="9" s="1"/>
  <c r="I12" i="9"/>
  <c r="O9" i="8"/>
  <c r="P9" i="8" s="1"/>
  <c r="Q9" i="8" s="1"/>
  <c r="R9" i="8" s="1"/>
  <c r="S9" i="8" s="1"/>
  <c r="H10" i="8" s="1"/>
  <c r="J10" i="8" s="1"/>
  <c r="K10" i="8" s="1"/>
  <c r="L10" i="8" s="1"/>
  <c r="M10" i="8" s="1"/>
  <c r="N9" i="8"/>
  <c r="I12" i="8"/>
  <c r="L9" i="5"/>
  <c r="M9" i="5" s="1"/>
  <c r="N9" i="5" s="1"/>
  <c r="O9" i="5" s="1"/>
  <c r="P9" i="5" s="1"/>
  <c r="Q9" i="5" s="1"/>
  <c r="H10" i="5" s="1"/>
  <c r="I12" i="5"/>
  <c r="I12" i="16" l="1"/>
  <c r="V7" i="16"/>
  <c r="Q7" i="16"/>
  <c r="S7" i="16"/>
  <c r="W7" i="16"/>
  <c r="X7" i="16" s="1"/>
  <c r="Z7" i="16" s="1"/>
  <c r="AA7" i="9"/>
  <c r="L12" i="15"/>
  <c r="M12" i="15" s="1"/>
  <c r="I17" i="15"/>
  <c r="L12" i="14"/>
  <c r="M12" i="14" s="1"/>
  <c r="I17" i="14"/>
  <c r="L12" i="13"/>
  <c r="M12" i="13" s="1"/>
  <c r="I16" i="13"/>
  <c r="I17" i="12"/>
  <c r="Z13" i="12"/>
  <c r="Z14" i="12" s="1"/>
  <c r="T11" i="12"/>
  <c r="U11" i="12" s="1"/>
  <c r="H12" i="12" s="1"/>
  <c r="Y7" i="11"/>
  <c r="P7" i="11"/>
  <c r="Z7" i="11" s="1"/>
  <c r="AA7" i="11" s="1"/>
  <c r="Q7" i="11"/>
  <c r="R7" i="11"/>
  <c r="S7" i="11" s="1"/>
  <c r="I12" i="11"/>
  <c r="N8" i="10"/>
  <c r="O8" i="10" s="1"/>
  <c r="P8" i="10" s="1"/>
  <c r="Q8" i="10" s="1"/>
  <c r="R8" i="10" s="1"/>
  <c r="H9" i="10" s="1"/>
  <c r="M8" i="10"/>
  <c r="I14" i="10"/>
  <c r="AH7" i="9"/>
  <c r="AH9" i="9" s="1"/>
  <c r="AH10" i="9" s="1"/>
  <c r="AJ5" i="9" s="1"/>
  <c r="AJ6" i="9" s="1"/>
  <c r="AJ7" i="9" s="1"/>
  <c r="AJ8" i="9" s="1"/>
  <c r="I13" i="9"/>
  <c r="O10" i="8"/>
  <c r="P10" i="8" s="1"/>
  <c r="Q10" i="8" s="1"/>
  <c r="R10" i="8" s="1"/>
  <c r="S10" i="8" s="1"/>
  <c r="H11" i="8" s="1"/>
  <c r="J11" i="8" s="1"/>
  <c r="K11" i="8" s="1"/>
  <c r="L11" i="8" s="1"/>
  <c r="M11" i="8" s="1"/>
  <c r="N10" i="8"/>
  <c r="I13" i="8"/>
  <c r="I13" i="5"/>
  <c r="J10" i="5"/>
  <c r="K10" i="5" s="1"/>
  <c r="T7" i="16" l="1"/>
  <c r="U7" i="16" s="1"/>
  <c r="I13" i="16"/>
  <c r="AA7" i="16"/>
  <c r="AB7" i="16" s="1"/>
  <c r="AC7" i="16" s="1"/>
  <c r="H8" i="16" s="1"/>
  <c r="AH7" i="16"/>
  <c r="AH9" i="16" s="1"/>
  <c r="AH10" i="16" s="1"/>
  <c r="AJ5" i="16" s="1"/>
  <c r="AJ6" i="16" s="1"/>
  <c r="AJ7" i="16" s="1"/>
  <c r="AJ8" i="16" s="1"/>
  <c r="O12" i="15"/>
  <c r="N12" i="15"/>
  <c r="Q12" i="15" s="1"/>
  <c r="I18" i="15"/>
  <c r="AB10" i="12"/>
  <c r="AB12" i="12" s="1"/>
  <c r="AB9" i="12"/>
  <c r="O12" i="14"/>
  <c r="N12" i="14"/>
  <c r="Q12" i="14" s="1"/>
  <c r="R12" i="14" s="1"/>
  <c r="S12" i="14" s="1"/>
  <c r="T12" i="14" s="1"/>
  <c r="U12" i="14" s="1"/>
  <c r="H13" i="14" s="1"/>
  <c r="I18" i="14"/>
  <c r="N12" i="13"/>
  <c r="Q12" i="13" s="1"/>
  <c r="O12" i="13"/>
  <c r="I17" i="13"/>
  <c r="J12" i="12"/>
  <c r="K12" i="12" s="1"/>
  <c r="I18" i="12"/>
  <c r="N7" i="11"/>
  <c r="W7" i="11"/>
  <c r="X7" i="11" s="1"/>
  <c r="T7" i="11"/>
  <c r="U7" i="11" s="1"/>
  <c r="AM7" i="11"/>
  <c r="AM9" i="11" s="1"/>
  <c r="AM10" i="11" s="1"/>
  <c r="AO5" i="11" s="1"/>
  <c r="AO6" i="11" s="1"/>
  <c r="AO7" i="11" s="1"/>
  <c r="AO8" i="11" s="1"/>
  <c r="I13" i="11"/>
  <c r="I15" i="10"/>
  <c r="J9" i="10"/>
  <c r="K9" i="10" s="1"/>
  <c r="L9" i="10" s="1"/>
  <c r="I14" i="9"/>
  <c r="O11" i="8"/>
  <c r="P11" i="8" s="1"/>
  <c r="Q11" i="8" s="1"/>
  <c r="R11" i="8" s="1"/>
  <c r="S11" i="8" s="1"/>
  <c r="H12" i="8" s="1"/>
  <c r="J12" i="8" s="1"/>
  <c r="K12" i="8" s="1"/>
  <c r="L12" i="8" s="1"/>
  <c r="M12" i="8" s="1"/>
  <c r="N11" i="8"/>
  <c r="I14" i="8"/>
  <c r="L10" i="5"/>
  <c r="M10" i="5" s="1"/>
  <c r="N10" i="5" s="1"/>
  <c r="O10" i="5" s="1"/>
  <c r="P10" i="5" s="1"/>
  <c r="Q10" i="5" s="1"/>
  <c r="H11" i="5" s="1"/>
  <c r="I14" i="5"/>
  <c r="J8" i="16" l="1"/>
  <c r="K8" i="16" s="1"/>
  <c r="I14" i="16"/>
  <c r="R12" i="15"/>
  <c r="T12" i="15" s="1"/>
  <c r="U12" i="15" s="1"/>
  <c r="H13" i="15" s="1"/>
  <c r="J13" i="15" s="1"/>
  <c r="K13" i="15" s="1"/>
  <c r="I19" i="15"/>
  <c r="R12" i="13"/>
  <c r="S12" i="13" s="1"/>
  <c r="T12" i="13" s="1"/>
  <c r="U12" i="13" s="1"/>
  <c r="H13" i="13" s="1"/>
  <c r="J13" i="13" s="1"/>
  <c r="K13" i="13" s="1"/>
  <c r="J13" i="14"/>
  <c r="K13" i="14" s="1"/>
  <c r="I19" i="14"/>
  <c r="I18" i="13"/>
  <c r="L12" i="12"/>
  <c r="M12" i="12" s="1"/>
  <c r="N12" i="12" s="1"/>
  <c r="I19" i="12"/>
  <c r="V7" i="11"/>
  <c r="AG7" i="11" s="1"/>
  <c r="AH7" i="11" s="1"/>
  <c r="H8" i="11" s="1"/>
  <c r="AB7" i="11"/>
  <c r="AC7" i="11" s="1"/>
  <c r="AD7" i="11" s="1"/>
  <c r="I14" i="11"/>
  <c r="J8" i="11"/>
  <c r="K8" i="11" s="1"/>
  <c r="N9" i="10"/>
  <c r="O9" i="10" s="1"/>
  <c r="P9" i="10" s="1"/>
  <c r="Q9" i="10" s="1"/>
  <c r="R9" i="10" s="1"/>
  <c r="H10" i="10" s="1"/>
  <c r="M9" i="10"/>
  <c r="I16" i="10"/>
  <c r="I15" i="9"/>
  <c r="O12" i="8"/>
  <c r="P12" i="8" s="1"/>
  <c r="Q12" i="8" s="1"/>
  <c r="R12" i="8" s="1"/>
  <c r="S12" i="8" s="1"/>
  <c r="H13" i="8" s="1"/>
  <c r="J13" i="8" s="1"/>
  <c r="K13" i="8" s="1"/>
  <c r="L13" i="8" s="1"/>
  <c r="M13" i="8" s="1"/>
  <c r="N12" i="8"/>
  <c r="I15" i="8"/>
  <c r="J11" i="5"/>
  <c r="K11" i="5" s="1"/>
  <c r="I15" i="5"/>
  <c r="N8" i="16" l="1"/>
  <c r="L8" i="16"/>
  <c r="I15" i="16"/>
  <c r="L13" i="15"/>
  <c r="M13" i="15" s="1"/>
  <c r="I20" i="15"/>
  <c r="L13" i="14"/>
  <c r="M13" i="14" s="1"/>
  <c r="I20" i="14"/>
  <c r="L13" i="13"/>
  <c r="M13" i="13" s="1"/>
  <c r="I19" i="13"/>
  <c r="O12" i="12"/>
  <c r="Q12" i="12"/>
  <c r="R12" i="12" s="1"/>
  <c r="S12" i="12" s="1"/>
  <c r="I20" i="12"/>
  <c r="L8" i="11"/>
  <c r="I15" i="11"/>
  <c r="I17" i="10"/>
  <c r="J10" i="10"/>
  <c r="K10" i="10" s="1"/>
  <c r="L10" i="10" s="1"/>
  <c r="I16" i="9"/>
  <c r="O13" i="8"/>
  <c r="P13" i="8" s="1"/>
  <c r="Q13" i="8" s="1"/>
  <c r="R13" i="8" s="1"/>
  <c r="S13" i="8" s="1"/>
  <c r="H14" i="8" s="1"/>
  <c r="J14" i="8" s="1"/>
  <c r="K14" i="8" s="1"/>
  <c r="L14" i="8" s="1"/>
  <c r="M14" i="8" s="1"/>
  <c r="N13" i="8"/>
  <c r="I16" i="8"/>
  <c r="L11" i="5"/>
  <c r="M11" i="5" s="1"/>
  <c r="N11" i="5" s="1"/>
  <c r="O11" i="5" s="1"/>
  <c r="P11" i="5" s="1"/>
  <c r="Q11" i="5" s="1"/>
  <c r="H12" i="5" s="1"/>
  <c r="I16" i="5"/>
  <c r="I16" i="16" l="1"/>
  <c r="M8" i="16"/>
  <c r="Y8" i="16"/>
  <c r="O8" i="16"/>
  <c r="P8" i="16" s="1"/>
  <c r="R8" i="16"/>
  <c r="O13" i="15"/>
  <c r="N13" i="15"/>
  <c r="Q13" i="15" s="1"/>
  <c r="I21" i="15"/>
  <c r="O13" i="14"/>
  <c r="N13" i="14"/>
  <c r="Q13" i="14" s="1"/>
  <c r="R13" i="14" s="1"/>
  <c r="S13" i="14" s="1"/>
  <c r="T13" i="14" s="1"/>
  <c r="U13" i="14" s="1"/>
  <c r="H14" i="14" s="1"/>
  <c r="I21" i="14"/>
  <c r="N13" i="13"/>
  <c r="Q13" i="13" s="1"/>
  <c r="O13" i="13"/>
  <c r="I20" i="13"/>
  <c r="I21" i="12"/>
  <c r="M8" i="11"/>
  <c r="R8" i="11" s="1"/>
  <c r="O8" i="11"/>
  <c r="I16" i="11"/>
  <c r="N10" i="10"/>
  <c r="O10" i="10" s="1"/>
  <c r="P10" i="10" s="1"/>
  <c r="Q10" i="10" s="1"/>
  <c r="R10" i="10" s="1"/>
  <c r="H11" i="10" s="1"/>
  <c r="M10" i="10"/>
  <c r="I18" i="10"/>
  <c r="I17" i="9"/>
  <c r="O14" i="8"/>
  <c r="P14" i="8" s="1"/>
  <c r="Q14" i="8" s="1"/>
  <c r="R14" i="8" s="1"/>
  <c r="S14" i="8" s="1"/>
  <c r="H15" i="8" s="1"/>
  <c r="J15" i="8" s="1"/>
  <c r="K15" i="8" s="1"/>
  <c r="L15" i="8" s="1"/>
  <c r="M15" i="8" s="1"/>
  <c r="N14" i="8"/>
  <c r="I17" i="8"/>
  <c r="I17" i="5"/>
  <c r="J12" i="5"/>
  <c r="K12" i="5" s="1"/>
  <c r="V8" i="16" l="1"/>
  <c r="Q8" i="16"/>
  <c r="AD7" i="16"/>
  <c r="S8" i="16"/>
  <c r="W8" i="16"/>
  <c r="X8" i="16" s="1"/>
  <c r="Z8" i="16" s="1"/>
  <c r="I17" i="16"/>
  <c r="R13" i="15"/>
  <c r="I22" i="15"/>
  <c r="J14" i="14"/>
  <c r="K14" i="14" s="1"/>
  <c r="I22" i="14"/>
  <c r="R13" i="13"/>
  <c r="S13" i="13" s="1"/>
  <c r="T13" i="13" s="1"/>
  <c r="U13" i="13" s="1"/>
  <c r="H14" i="13" s="1"/>
  <c r="J14" i="13" s="1"/>
  <c r="K14" i="13" s="1"/>
  <c r="I21" i="13"/>
  <c r="I22" i="12"/>
  <c r="W8" i="11"/>
  <c r="X8" i="11" s="1"/>
  <c r="Q8" i="11"/>
  <c r="AE8" i="11" s="1"/>
  <c r="S8" i="11"/>
  <c r="T8" i="11"/>
  <c r="P8" i="11"/>
  <c r="I17" i="11"/>
  <c r="I19" i="10"/>
  <c r="J11" i="10"/>
  <c r="K11" i="10" s="1"/>
  <c r="L11" i="10" s="1"/>
  <c r="I18" i="9"/>
  <c r="O15" i="8"/>
  <c r="P15" i="8" s="1"/>
  <c r="Q15" i="8" s="1"/>
  <c r="R15" i="8" s="1"/>
  <c r="S15" i="8" s="1"/>
  <c r="H16" i="8" s="1"/>
  <c r="J16" i="8" s="1"/>
  <c r="K16" i="8" s="1"/>
  <c r="L16" i="8" s="1"/>
  <c r="M16" i="8" s="1"/>
  <c r="N15" i="8"/>
  <c r="I18" i="8"/>
  <c r="L12" i="5"/>
  <c r="M12" i="5" s="1"/>
  <c r="N12" i="5" s="1"/>
  <c r="O12" i="5" s="1"/>
  <c r="P12" i="5" s="1"/>
  <c r="Q12" i="5" s="1"/>
  <c r="H13" i="5" s="1"/>
  <c r="I18" i="5"/>
  <c r="I18" i="16" l="1"/>
  <c r="T8" i="16"/>
  <c r="U8" i="16" s="1"/>
  <c r="AA8" i="16" s="1"/>
  <c r="AB8" i="16" s="1"/>
  <c r="AC8" i="16" s="1"/>
  <c r="H9" i="16" s="1"/>
  <c r="S13" i="15"/>
  <c r="T13" i="15" s="1"/>
  <c r="U13" i="15" s="1"/>
  <c r="H14" i="15" s="1"/>
  <c r="J14" i="15" s="1"/>
  <c r="K14" i="15" s="1"/>
  <c r="L14" i="15" s="1"/>
  <c r="M14" i="15" s="1"/>
  <c r="I23" i="15"/>
  <c r="L14" i="14"/>
  <c r="M14" i="14" s="1"/>
  <c r="I23" i="14"/>
  <c r="L14" i="13"/>
  <c r="M14" i="13" s="1"/>
  <c r="I22" i="13"/>
  <c r="T12" i="12"/>
  <c r="U12" i="12" s="1"/>
  <c r="H13" i="12" s="1"/>
  <c r="J13" i="12" s="1"/>
  <c r="K13" i="12" s="1"/>
  <c r="I23" i="12"/>
  <c r="N8" i="11"/>
  <c r="Z8" i="11"/>
  <c r="AA8" i="11" s="1"/>
  <c r="AI7" i="11"/>
  <c r="Y8" i="11"/>
  <c r="U8" i="11"/>
  <c r="I18" i="11"/>
  <c r="N11" i="10"/>
  <c r="O11" i="10" s="1"/>
  <c r="P11" i="10" s="1"/>
  <c r="Q11" i="10" s="1"/>
  <c r="R11" i="10" s="1"/>
  <c r="H12" i="10" s="1"/>
  <c r="M11" i="10"/>
  <c r="I19" i="9"/>
  <c r="O16" i="8"/>
  <c r="P16" i="8" s="1"/>
  <c r="Q16" i="8" s="1"/>
  <c r="R16" i="8" s="1"/>
  <c r="S16" i="8" s="1"/>
  <c r="H17" i="8" s="1"/>
  <c r="J17" i="8" s="1"/>
  <c r="K17" i="8" s="1"/>
  <c r="L17" i="8" s="1"/>
  <c r="M17" i="8" s="1"/>
  <c r="N16" i="8"/>
  <c r="I19" i="8"/>
  <c r="I19" i="5"/>
  <c r="J13" i="5"/>
  <c r="K13" i="5" s="1"/>
  <c r="J9" i="16" l="1"/>
  <c r="K9" i="16" s="1"/>
  <c r="I19" i="16"/>
  <c r="O14" i="15"/>
  <c r="N14" i="15"/>
  <c r="Q14" i="15" s="1"/>
  <c r="O14" i="14"/>
  <c r="N14" i="14"/>
  <c r="Q14" i="14" s="1"/>
  <c r="R14" i="14" s="1"/>
  <c r="S14" i="14" s="1"/>
  <c r="T14" i="14" s="1"/>
  <c r="U14" i="14" s="1"/>
  <c r="H15" i="14" s="1"/>
  <c r="N14" i="13"/>
  <c r="Q14" i="13" s="1"/>
  <c r="O14" i="13"/>
  <c r="I23" i="13"/>
  <c r="L13" i="12"/>
  <c r="M13" i="12" s="1"/>
  <c r="N13" i="12" s="1"/>
  <c r="V8" i="11"/>
  <c r="AB8" i="11"/>
  <c r="AC8" i="11" s="1"/>
  <c r="AD8" i="11" s="1"/>
  <c r="AG8" i="11"/>
  <c r="AH8" i="11" s="1"/>
  <c r="H9" i="11" s="1"/>
  <c r="J9" i="11" s="1"/>
  <c r="K9" i="11" s="1"/>
  <c r="L9" i="11" s="1"/>
  <c r="I19" i="11"/>
  <c r="J12" i="10"/>
  <c r="K12" i="10" s="1"/>
  <c r="L12" i="10" s="1"/>
  <c r="O17" i="8"/>
  <c r="P17" i="8" s="1"/>
  <c r="Q17" i="8" s="1"/>
  <c r="R17" i="8" s="1"/>
  <c r="S17" i="8" s="1"/>
  <c r="H18" i="8" s="1"/>
  <c r="J18" i="8" s="1"/>
  <c r="K18" i="8" s="1"/>
  <c r="L18" i="8" s="1"/>
  <c r="M18" i="8" s="1"/>
  <c r="N17" i="8"/>
  <c r="L13" i="5"/>
  <c r="M13" i="5" s="1"/>
  <c r="N13" i="5" s="1"/>
  <c r="O13" i="5" s="1"/>
  <c r="P13" i="5" s="1"/>
  <c r="Q13" i="5" s="1"/>
  <c r="H14" i="5" s="1"/>
  <c r="N9" i="16" l="1"/>
  <c r="L9" i="16"/>
  <c r="R14" i="15"/>
  <c r="J15" i="14"/>
  <c r="K15" i="14" s="1"/>
  <c r="R14" i="13"/>
  <c r="S14" i="13" s="1"/>
  <c r="T14" i="13" s="1"/>
  <c r="U14" i="13" s="1"/>
  <c r="H15" i="13" s="1"/>
  <c r="J15" i="13" s="1"/>
  <c r="K15" i="13" s="1"/>
  <c r="O13" i="12"/>
  <c r="Q13" i="12"/>
  <c r="R13" i="12" s="1"/>
  <c r="S13" i="12" s="1"/>
  <c r="M9" i="11"/>
  <c r="R9" i="11" s="1"/>
  <c r="O9" i="11"/>
  <c r="N12" i="10"/>
  <c r="O12" i="10" s="1"/>
  <c r="P12" i="10" s="1"/>
  <c r="Q12" i="10" s="1"/>
  <c r="R12" i="10" s="1"/>
  <c r="H13" i="10" s="1"/>
  <c r="M12" i="10"/>
  <c r="O18" i="8"/>
  <c r="P18" i="8" s="1"/>
  <c r="Q18" i="8" s="1"/>
  <c r="R18" i="8" s="1"/>
  <c r="S18" i="8" s="1"/>
  <c r="H19" i="8" s="1"/>
  <c r="J19" i="8" s="1"/>
  <c r="K19" i="8" s="1"/>
  <c r="N18" i="8"/>
  <c r="J14" i="5"/>
  <c r="K14" i="5" s="1"/>
  <c r="M9" i="16" l="1"/>
  <c r="Y9" i="16"/>
  <c r="O9" i="16"/>
  <c r="P9" i="16" s="1"/>
  <c r="R9" i="16"/>
  <c r="S14" i="15"/>
  <c r="T14" i="15" s="1"/>
  <c r="U14" i="15" s="1"/>
  <c r="H15" i="15" s="1"/>
  <c r="J15" i="15" s="1"/>
  <c r="K15" i="15" s="1"/>
  <c r="L15" i="15" s="1"/>
  <c r="M15" i="15" s="1"/>
  <c r="L15" i="14"/>
  <c r="M15" i="14" s="1"/>
  <c r="L15" i="13"/>
  <c r="M15" i="13" s="1"/>
  <c r="S9" i="11"/>
  <c r="W9" i="11"/>
  <c r="X9" i="11" s="1"/>
  <c r="Q9" i="11"/>
  <c r="AE9" i="11" s="1"/>
  <c r="T9" i="11"/>
  <c r="P9" i="11"/>
  <c r="J13" i="10"/>
  <c r="K13" i="10" s="1"/>
  <c r="L13" i="10" s="1"/>
  <c r="L14" i="5"/>
  <c r="M14" i="5" s="1"/>
  <c r="N14" i="5" s="1"/>
  <c r="O14" i="5" s="1"/>
  <c r="P14" i="5" s="1"/>
  <c r="Q14" i="5" s="1"/>
  <c r="H15" i="5" s="1"/>
  <c r="V9" i="16" l="1"/>
  <c r="W9" i="16" s="1"/>
  <c r="X9" i="16" s="1"/>
  <c r="Z9" i="16" s="1"/>
  <c r="Q9" i="16"/>
  <c r="S9" i="16"/>
  <c r="O15" i="15"/>
  <c r="N15" i="15"/>
  <c r="Q15" i="15" s="1"/>
  <c r="O15" i="14"/>
  <c r="N15" i="14"/>
  <c r="Q15" i="14" s="1"/>
  <c r="R15" i="14" s="1"/>
  <c r="S15" i="14" s="1"/>
  <c r="T15" i="14" s="1"/>
  <c r="U15" i="14" s="1"/>
  <c r="H16" i="14" s="1"/>
  <c r="N15" i="13"/>
  <c r="O15" i="13"/>
  <c r="Q15" i="13"/>
  <c r="R15" i="13" s="1"/>
  <c r="N9" i="11"/>
  <c r="Z9" i="11"/>
  <c r="AA9" i="11" s="1"/>
  <c r="U9" i="11"/>
  <c r="Y9" i="11"/>
  <c r="N13" i="10"/>
  <c r="O13" i="10" s="1"/>
  <c r="P13" i="10" s="1"/>
  <c r="Q13" i="10" s="1"/>
  <c r="R13" i="10" s="1"/>
  <c r="H14" i="10" s="1"/>
  <c r="M13" i="10"/>
  <c r="J15" i="5"/>
  <c r="K15" i="5" s="1"/>
  <c r="T9" i="16" l="1"/>
  <c r="U9" i="16" s="1"/>
  <c r="AA9" i="16" s="1"/>
  <c r="AB9" i="16" s="1"/>
  <c r="AC9" i="16" s="1"/>
  <c r="H10" i="16" s="1"/>
  <c r="R15" i="15"/>
  <c r="J16" i="14"/>
  <c r="K16" i="14" s="1"/>
  <c r="S15" i="13"/>
  <c r="T15" i="13" s="1"/>
  <c r="U15" i="13" s="1"/>
  <c r="H16" i="13" s="1"/>
  <c r="J16" i="13" s="1"/>
  <c r="K16" i="13" s="1"/>
  <c r="T13" i="12"/>
  <c r="U13" i="12" s="1"/>
  <c r="H14" i="12" s="1"/>
  <c r="J14" i="12" s="1"/>
  <c r="K14" i="12" s="1"/>
  <c r="V9" i="11"/>
  <c r="AB9" i="11"/>
  <c r="AC9" i="11" s="1"/>
  <c r="AD9" i="11" s="1"/>
  <c r="AF9" i="11" s="1"/>
  <c r="AG9" i="11" s="1"/>
  <c r="AH9" i="11" s="1"/>
  <c r="H10" i="11" s="1"/>
  <c r="J10" i="11" s="1"/>
  <c r="K10" i="11" s="1"/>
  <c r="J14" i="10"/>
  <c r="K14" i="10" s="1"/>
  <c r="L14" i="10" s="1"/>
  <c r="L15" i="5"/>
  <c r="M15" i="5" s="1"/>
  <c r="N15" i="5" s="1"/>
  <c r="O15" i="5" s="1"/>
  <c r="P15" i="5" s="1"/>
  <c r="Q15" i="5" s="1"/>
  <c r="H16" i="5" s="1"/>
  <c r="J10" i="16" l="1"/>
  <c r="K10" i="16" s="1"/>
  <c r="S15" i="15"/>
  <c r="T15" i="15" s="1"/>
  <c r="U15" i="15" s="1"/>
  <c r="H16" i="15" s="1"/>
  <c r="J16" i="15" s="1"/>
  <c r="K16" i="15" s="1"/>
  <c r="L16" i="15" s="1"/>
  <c r="M16" i="15" s="1"/>
  <c r="L16" i="14"/>
  <c r="M16" i="14" s="1"/>
  <c r="L16" i="13"/>
  <c r="M16" i="13" s="1"/>
  <c r="L14" i="12"/>
  <c r="M14" i="12" s="1"/>
  <c r="N14" i="12" s="1"/>
  <c r="L10" i="11"/>
  <c r="N14" i="10"/>
  <c r="O14" i="10" s="1"/>
  <c r="P14" i="10" s="1"/>
  <c r="Q14" i="10" s="1"/>
  <c r="R14" i="10" s="1"/>
  <c r="H15" i="10" s="1"/>
  <c r="M14" i="10"/>
  <c r="J16" i="5"/>
  <c r="K16" i="5" s="1"/>
  <c r="N10" i="16" l="1"/>
  <c r="L10" i="16"/>
  <c r="O16" i="15"/>
  <c r="N16" i="15"/>
  <c r="Q16" i="15" s="1"/>
  <c r="O16" i="14"/>
  <c r="N16" i="14"/>
  <c r="Q16" i="14" s="1"/>
  <c r="R16" i="14" s="1"/>
  <c r="S16" i="14" s="1"/>
  <c r="T16" i="14" s="1"/>
  <c r="U16" i="14" s="1"/>
  <c r="H17" i="14" s="1"/>
  <c r="N16" i="13"/>
  <c r="Q16" i="13" s="1"/>
  <c r="O16" i="13"/>
  <c r="O14" i="12"/>
  <c r="Q14" i="12"/>
  <c r="R14" i="12" s="1"/>
  <c r="S14" i="12" s="1"/>
  <c r="M10" i="11"/>
  <c r="R10" i="11" s="1"/>
  <c r="O10" i="11"/>
  <c r="J15" i="10"/>
  <c r="K15" i="10" s="1"/>
  <c r="L15" i="10" s="1"/>
  <c r="L16" i="5"/>
  <c r="M16" i="5" s="1"/>
  <c r="N16" i="5" s="1"/>
  <c r="O16" i="5" s="1"/>
  <c r="P16" i="5" s="1"/>
  <c r="Q16" i="5" s="1"/>
  <c r="H17" i="5" s="1"/>
  <c r="B19" i="4"/>
  <c r="B10" i="4"/>
  <c r="B9" i="4"/>
  <c r="B12" i="4" s="1"/>
  <c r="G7" i="4"/>
  <c r="M10" i="16" l="1"/>
  <c r="Y10" i="16"/>
  <c r="O10" i="16"/>
  <c r="P10" i="16" s="1"/>
  <c r="R10" i="16"/>
  <c r="R16" i="15"/>
  <c r="J17" i="14"/>
  <c r="K17" i="14" s="1"/>
  <c r="R16" i="13"/>
  <c r="S16" i="13" s="1"/>
  <c r="T16" i="13" s="1"/>
  <c r="U16" i="13" s="1"/>
  <c r="H17" i="13" s="1"/>
  <c r="J17" i="13" s="1"/>
  <c r="K17" i="13" s="1"/>
  <c r="S10" i="11"/>
  <c r="W10" i="11"/>
  <c r="X10" i="11" s="1"/>
  <c r="Q10" i="11"/>
  <c r="AE10" i="11" s="1"/>
  <c r="T10" i="11"/>
  <c r="P10" i="11"/>
  <c r="N15" i="10"/>
  <c r="O15" i="10" s="1"/>
  <c r="P15" i="10" s="1"/>
  <c r="Q15" i="10" s="1"/>
  <c r="R15" i="10" s="1"/>
  <c r="H16" i="10" s="1"/>
  <c r="M15" i="10"/>
  <c r="H7" i="4"/>
  <c r="B11" i="4"/>
  <c r="I7" i="4"/>
  <c r="J17" i="5"/>
  <c r="K17" i="5" s="1"/>
  <c r="H8" i="4"/>
  <c r="S10" i="16" l="1"/>
  <c r="V10" i="16"/>
  <c r="W10" i="16" s="1"/>
  <c r="X10" i="16" s="1"/>
  <c r="Z10" i="16" s="1"/>
  <c r="AA10" i="16" s="1"/>
  <c r="AB10" i="16" s="1"/>
  <c r="AC10" i="16" s="1"/>
  <c r="H11" i="16" s="1"/>
  <c r="Q10" i="16"/>
  <c r="T10" i="16" s="1"/>
  <c r="U10" i="16" s="1"/>
  <c r="S16" i="15"/>
  <c r="T16" i="15" s="1"/>
  <c r="U16" i="15" s="1"/>
  <c r="H17" i="15" s="1"/>
  <c r="J17" i="15" s="1"/>
  <c r="K17" i="15" s="1"/>
  <c r="L17" i="15" s="1"/>
  <c r="M17" i="15" s="1"/>
  <c r="L17" i="14"/>
  <c r="M17" i="14" s="1"/>
  <c r="L17" i="13"/>
  <c r="M17" i="13" s="1"/>
  <c r="N10" i="11"/>
  <c r="Z10" i="11"/>
  <c r="AA10" i="11" s="1"/>
  <c r="Y10" i="11"/>
  <c r="U10" i="11"/>
  <c r="J16" i="10"/>
  <c r="K16" i="10" s="1"/>
  <c r="L16" i="10" s="1"/>
  <c r="H9" i="4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J7" i="4"/>
  <c r="K7" i="4" s="1"/>
  <c r="L7" i="4" s="1"/>
  <c r="M7" i="4" s="1"/>
  <c r="N7" i="4" s="1"/>
  <c r="O7" i="4" s="1"/>
  <c r="T5" i="4"/>
  <c r="T6" i="4" s="1"/>
  <c r="L17" i="5"/>
  <c r="M17" i="5" s="1"/>
  <c r="N17" i="5" s="1"/>
  <c r="O17" i="5" s="1"/>
  <c r="P17" i="5" s="1"/>
  <c r="Q17" i="5" s="1"/>
  <c r="H18" i="5" s="1"/>
  <c r="J11" i="16" l="1"/>
  <c r="K11" i="16" s="1"/>
  <c r="O17" i="15"/>
  <c r="N17" i="15"/>
  <c r="Q17" i="15" s="1"/>
  <c r="O17" i="14"/>
  <c r="N17" i="14"/>
  <c r="Q17" i="14" s="1"/>
  <c r="R17" i="14" s="1"/>
  <c r="S17" i="14" s="1"/>
  <c r="T17" i="14" s="1"/>
  <c r="U17" i="14" s="1"/>
  <c r="H18" i="14" s="1"/>
  <c r="N17" i="13"/>
  <c r="Q17" i="13" s="1"/>
  <c r="O17" i="13"/>
  <c r="T14" i="12"/>
  <c r="U14" i="12" s="1"/>
  <c r="H15" i="12" s="1"/>
  <c r="V10" i="11"/>
  <c r="AB10" i="11"/>
  <c r="AC10" i="11" s="1"/>
  <c r="AD10" i="11" s="1"/>
  <c r="AF10" i="11" s="1"/>
  <c r="AG10" i="11" s="1"/>
  <c r="AH10" i="11" s="1"/>
  <c r="H11" i="11" s="1"/>
  <c r="J11" i="11" s="1"/>
  <c r="K11" i="11" s="1"/>
  <c r="L11" i="11" s="1"/>
  <c r="N16" i="10"/>
  <c r="O16" i="10" s="1"/>
  <c r="P16" i="10" s="1"/>
  <c r="Q16" i="10" s="1"/>
  <c r="R16" i="10" s="1"/>
  <c r="H17" i="10" s="1"/>
  <c r="M16" i="10"/>
  <c r="T7" i="4"/>
  <c r="T9" i="4" s="1"/>
  <c r="T10" i="4" s="1"/>
  <c r="V5" i="4" s="1"/>
  <c r="V6" i="4" s="1"/>
  <c r="V7" i="4" s="1"/>
  <c r="V8" i="4" s="1"/>
  <c r="J18" i="5"/>
  <c r="K18" i="5" s="1"/>
  <c r="N11" i="16" l="1"/>
  <c r="L11" i="16"/>
  <c r="R17" i="15"/>
  <c r="J18" i="14"/>
  <c r="K18" i="14" s="1"/>
  <c r="R17" i="13"/>
  <c r="S17" i="13" s="1"/>
  <c r="T17" i="13" s="1"/>
  <c r="U17" i="13" s="1"/>
  <c r="H18" i="13" s="1"/>
  <c r="J18" i="13" s="1"/>
  <c r="K18" i="13" s="1"/>
  <c r="J15" i="12"/>
  <c r="K15" i="12" s="1"/>
  <c r="M11" i="11"/>
  <c r="R11" i="11" s="1"/>
  <c r="O11" i="11"/>
  <c r="J17" i="10"/>
  <c r="K17" i="10" s="1"/>
  <c r="L17" i="10" s="1"/>
  <c r="L18" i="5"/>
  <c r="M18" i="5" s="1"/>
  <c r="N18" i="5" s="1"/>
  <c r="O18" i="5" s="1"/>
  <c r="P18" i="5" s="1"/>
  <c r="Q18" i="5" s="1"/>
  <c r="H19" i="5" s="1"/>
  <c r="J19" i="5" s="1"/>
  <c r="K19" i="5" s="1"/>
  <c r="P7" i="4"/>
  <c r="G8" i="4" s="1"/>
  <c r="M11" i="16" l="1"/>
  <c r="Y11" i="16"/>
  <c r="R11" i="16"/>
  <c r="O11" i="16"/>
  <c r="P11" i="16" s="1"/>
  <c r="S17" i="15"/>
  <c r="T17" i="15" s="1"/>
  <c r="U17" i="15" s="1"/>
  <c r="H18" i="15" s="1"/>
  <c r="J18" i="15" s="1"/>
  <c r="K18" i="15" s="1"/>
  <c r="L18" i="15" s="1"/>
  <c r="M18" i="15" s="1"/>
  <c r="L18" i="14"/>
  <c r="M18" i="14" s="1"/>
  <c r="L18" i="13"/>
  <c r="M18" i="13" s="1"/>
  <c r="L15" i="12"/>
  <c r="M15" i="12" s="1"/>
  <c r="N15" i="12" s="1"/>
  <c r="S11" i="11"/>
  <c r="W11" i="11"/>
  <c r="X11" i="11" s="1"/>
  <c r="Q11" i="11"/>
  <c r="AE11" i="11" s="1"/>
  <c r="T11" i="11"/>
  <c r="P11" i="11"/>
  <c r="N17" i="10"/>
  <c r="O17" i="10" s="1"/>
  <c r="P17" i="10" s="1"/>
  <c r="Q17" i="10" s="1"/>
  <c r="R17" i="10" s="1"/>
  <c r="H18" i="10" s="1"/>
  <c r="M17" i="10"/>
  <c r="I8" i="4"/>
  <c r="J8" i="4" s="1"/>
  <c r="K8" i="4" s="1"/>
  <c r="L8" i="4" s="1"/>
  <c r="M8" i="4" s="1"/>
  <c r="S11" i="16" l="1"/>
  <c r="V11" i="16"/>
  <c r="W11" i="16" s="1"/>
  <c r="X11" i="16" s="1"/>
  <c r="Z11" i="16" s="1"/>
  <c r="AA11" i="16" s="1"/>
  <c r="AB11" i="16" s="1"/>
  <c r="AC11" i="16" s="1"/>
  <c r="H12" i="16" s="1"/>
  <c r="Q11" i="16"/>
  <c r="T11" i="16" s="1"/>
  <c r="U11" i="16" s="1"/>
  <c r="O18" i="15"/>
  <c r="N18" i="15"/>
  <c r="Q18" i="15" s="1"/>
  <c r="O18" i="14"/>
  <c r="N18" i="14"/>
  <c r="Q18" i="14" s="1"/>
  <c r="R18" i="14" s="1"/>
  <c r="S18" i="14" s="1"/>
  <c r="T18" i="14" s="1"/>
  <c r="U18" i="14" s="1"/>
  <c r="H19" i="14" s="1"/>
  <c r="N18" i="13"/>
  <c r="Q18" i="13" s="1"/>
  <c r="O18" i="13"/>
  <c r="O15" i="12"/>
  <c r="Q15" i="12"/>
  <c r="R15" i="12" s="1"/>
  <c r="S15" i="12" s="1"/>
  <c r="N11" i="11"/>
  <c r="Z11" i="11"/>
  <c r="AA11" i="11" s="1"/>
  <c r="Y11" i="11"/>
  <c r="U11" i="11"/>
  <c r="J18" i="10"/>
  <c r="K18" i="10" s="1"/>
  <c r="L18" i="10" s="1"/>
  <c r="N8" i="4"/>
  <c r="O8" i="4" s="1"/>
  <c r="J12" i="16" l="1"/>
  <c r="K12" i="16" s="1"/>
  <c r="R18" i="15"/>
  <c r="J19" i="14"/>
  <c r="K19" i="14" s="1"/>
  <c r="R18" i="13"/>
  <c r="S18" i="13" s="1"/>
  <c r="T18" i="13" s="1"/>
  <c r="U18" i="13" s="1"/>
  <c r="H19" i="13" s="1"/>
  <c r="J19" i="13" s="1"/>
  <c r="K19" i="13" s="1"/>
  <c r="V11" i="11"/>
  <c r="AB11" i="11"/>
  <c r="AC11" i="11" s="1"/>
  <c r="AD11" i="11" s="1"/>
  <c r="AF11" i="11" s="1"/>
  <c r="N18" i="10"/>
  <c r="O18" i="10" s="1"/>
  <c r="P18" i="10" s="1"/>
  <c r="Q18" i="10" s="1"/>
  <c r="R18" i="10" s="1"/>
  <c r="H19" i="10" s="1"/>
  <c r="M18" i="10"/>
  <c r="P8" i="4"/>
  <c r="G9" i="4" s="1"/>
  <c r="N12" i="16" l="1"/>
  <c r="L12" i="16"/>
  <c r="S18" i="15"/>
  <c r="T18" i="15" s="1"/>
  <c r="U18" i="15" s="1"/>
  <c r="H19" i="15" s="1"/>
  <c r="J19" i="15" s="1"/>
  <c r="K19" i="15" s="1"/>
  <c r="L19" i="15" s="1"/>
  <c r="M19" i="15" s="1"/>
  <c r="L19" i="14"/>
  <c r="M19" i="14" s="1"/>
  <c r="L19" i="13"/>
  <c r="M19" i="13" s="1"/>
  <c r="AG11" i="11"/>
  <c r="AH11" i="11" s="1"/>
  <c r="H12" i="11" s="1"/>
  <c r="J12" i="11" s="1"/>
  <c r="K12" i="11" s="1"/>
  <c r="L12" i="11" s="1"/>
  <c r="J19" i="10"/>
  <c r="K19" i="10" s="1"/>
  <c r="I9" i="4"/>
  <c r="J9" i="4" s="1"/>
  <c r="K9" i="4" s="1"/>
  <c r="M12" i="16" l="1"/>
  <c r="Y12" i="16"/>
  <c r="O12" i="16"/>
  <c r="P12" i="16" s="1"/>
  <c r="R12" i="16"/>
  <c r="O19" i="15"/>
  <c r="N19" i="15"/>
  <c r="Q19" i="15" s="1"/>
  <c r="O19" i="14"/>
  <c r="N19" i="14"/>
  <c r="Q19" i="14" s="1"/>
  <c r="R19" i="14" s="1"/>
  <c r="S19" i="14" s="1"/>
  <c r="T19" i="14" s="1"/>
  <c r="U19" i="14" s="1"/>
  <c r="H20" i="14" s="1"/>
  <c r="N19" i="13"/>
  <c r="Q19" i="13" s="1"/>
  <c r="O19" i="13"/>
  <c r="T15" i="12"/>
  <c r="U15" i="12" s="1"/>
  <c r="H16" i="12" s="1"/>
  <c r="M12" i="11"/>
  <c r="R12" i="11" s="1"/>
  <c r="O12" i="11"/>
  <c r="L9" i="4"/>
  <c r="M9" i="4" s="1"/>
  <c r="V12" i="16" l="1"/>
  <c r="Q12" i="16"/>
  <c r="W12" i="16"/>
  <c r="X12" i="16" s="1"/>
  <c r="Z12" i="16" s="1"/>
  <c r="S12" i="16"/>
  <c r="R19" i="15"/>
  <c r="J20" i="14"/>
  <c r="K20" i="14" s="1"/>
  <c r="R19" i="13"/>
  <c r="S19" i="13" s="1"/>
  <c r="T19" i="13" s="1"/>
  <c r="U19" i="13" s="1"/>
  <c r="H20" i="13" s="1"/>
  <c r="J20" i="13" s="1"/>
  <c r="K20" i="13" s="1"/>
  <c r="J16" i="12"/>
  <c r="K16" i="12" s="1"/>
  <c r="S12" i="11"/>
  <c r="W12" i="11"/>
  <c r="X12" i="11" s="1"/>
  <c r="Q12" i="11"/>
  <c r="AE12" i="11" s="1"/>
  <c r="T12" i="11"/>
  <c r="P12" i="11"/>
  <c r="N9" i="4"/>
  <c r="T12" i="16" l="1"/>
  <c r="U12" i="16" s="1"/>
  <c r="AA12" i="16" s="1"/>
  <c r="AB12" i="16" s="1"/>
  <c r="AC12" i="16" s="1"/>
  <c r="H13" i="16" s="1"/>
  <c r="S19" i="15"/>
  <c r="T19" i="15" s="1"/>
  <c r="U19" i="15" s="1"/>
  <c r="H20" i="15" s="1"/>
  <c r="J20" i="15" s="1"/>
  <c r="K20" i="15" s="1"/>
  <c r="L20" i="15" s="1"/>
  <c r="M20" i="15" s="1"/>
  <c r="L20" i="14"/>
  <c r="M20" i="14" s="1"/>
  <c r="L20" i="13"/>
  <c r="M20" i="13" s="1"/>
  <c r="L16" i="12"/>
  <c r="M16" i="12" s="1"/>
  <c r="N16" i="12" s="1"/>
  <c r="N12" i="11"/>
  <c r="Z12" i="11"/>
  <c r="AA12" i="11" s="1"/>
  <c r="Y12" i="11"/>
  <c r="U12" i="11"/>
  <c r="O9" i="4"/>
  <c r="P9" i="4" s="1"/>
  <c r="G10" i="4" s="1"/>
  <c r="I10" i="4" s="1"/>
  <c r="J10" i="4" s="1"/>
  <c r="K10" i="4" s="1"/>
  <c r="J13" i="16" l="1"/>
  <c r="K13" i="16" s="1"/>
  <c r="O20" i="15"/>
  <c r="N20" i="15"/>
  <c r="Q20" i="15" s="1"/>
  <c r="O20" i="14"/>
  <c r="N20" i="14"/>
  <c r="Q20" i="14" s="1"/>
  <c r="R20" i="14" s="1"/>
  <c r="S20" i="14" s="1"/>
  <c r="T20" i="14" s="1"/>
  <c r="U20" i="14" s="1"/>
  <c r="H21" i="14" s="1"/>
  <c r="N20" i="13"/>
  <c r="Q20" i="13" s="1"/>
  <c r="O20" i="13"/>
  <c r="O16" i="12"/>
  <c r="Q16" i="12"/>
  <c r="R16" i="12" s="1"/>
  <c r="S16" i="12" s="1"/>
  <c r="V12" i="11"/>
  <c r="AB12" i="11"/>
  <c r="AC12" i="11" s="1"/>
  <c r="AD12" i="11" s="1"/>
  <c r="AF12" i="11" s="1"/>
  <c r="AG12" i="11" s="1"/>
  <c r="AH12" i="11" s="1"/>
  <c r="H13" i="11" s="1"/>
  <c r="J13" i="11" s="1"/>
  <c r="K13" i="11" s="1"/>
  <c r="L13" i="11" s="1"/>
  <c r="L10" i="4"/>
  <c r="M10" i="4" s="1"/>
  <c r="N13" i="16" l="1"/>
  <c r="L13" i="16"/>
  <c r="R20" i="15"/>
  <c r="J21" i="14"/>
  <c r="K21" i="14" s="1"/>
  <c r="R20" i="13"/>
  <c r="S20" i="13" s="1"/>
  <c r="T20" i="13" s="1"/>
  <c r="U20" i="13" s="1"/>
  <c r="H21" i="13" s="1"/>
  <c r="J21" i="13" s="1"/>
  <c r="K21" i="13" s="1"/>
  <c r="M13" i="11"/>
  <c r="R13" i="11" s="1"/>
  <c r="O13" i="11"/>
  <c r="N10" i="4"/>
  <c r="M13" i="16" l="1"/>
  <c r="Y13" i="16"/>
  <c r="R13" i="16"/>
  <c r="O13" i="16"/>
  <c r="P13" i="16" s="1"/>
  <c r="S20" i="15"/>
  <c r="T20" i="15" s="1"/>
  <c r="U20" i="15" s="1"/>
  <c r="H21" i="15" s="1"/>
  <c r="J21" i="15" s="1"/>
  <c r="K21" i="15" s="1"/>
  <c r="L21" i="15" s="1"/>
  <c r="M21" i="15" s="1"/>
  <c r="L21" i="14"/>
  <c r="M21" i="14" s="1"/>
  <c r="L21" i="13"/>
  <c r="M21" i="13" s="1"/>
  <c r="S13" i="11"/>
  <c r="W13" i="11"/>
  <c r="X13" i="11" s="1"/>
  <c r="Q13" i="11"/>
  <c r="T13" i="11"/>
  <c r="P13" i="11"/>
  <c r="O10" i="4"/>
  <c r="P10" i="4" s="1"/>
  <c r="G11" i="4" s="1"/>
  <c r="Q13" i="16" l="1"/>
  <c r="V13" i="16"/>
  <c r="W13" i="16" s="1"/>
  <c r="X13" i="16" s="1"/>
  <c r="Z13" i="16" s="1"/>
  <c r="S13" i="16"/>
  <c r="O21" i="15"/>
  <c r="N21" i="15"/>
  <c r="Q21" i="15" s="1"/>
  <c r="O21" i="14"/>
  <c r="N21" i="14"/>
  <c r="Q21" i="14" s="1"/>
  <c r="R21" i="14" s="1"/>
  <c r="S21" i="14" s="1"/>
  <c r="T21" i="14" s="1"/>
  <c r="U21" i="14" s="1"/>
  <c r="H22" i="14" s="1"/>
  <c r="N21" i="13"/>
  <c r="Q21" i="13" s="1"/>
  <c r="R21" i="13" s="1"/>
  <c r="O21" i="13"/>
  <c r="T16" i="12"/>
  <c r="U16" i="12" s="1"/>
  <c r="H17" i="12" s="1"/>
  <c r="AE13" i="11"/>
  <c r="Y13" i="11"/>
  <c r="Z13" i="11"/>
  <c r="AA13" i="11" s="1"/>
  <c r="N13" i="11"/>
  <c r="U13" i="11"/>
  <c r="I11" i="4"/>
  <c r="J11" i="4" s="1"/>
  <c r="K11" i="4" s="1"/>
  <c r="L11" i="4" s="1"/>
  <c r="M11" i="4" s="1"/>
  <c r="T13" i="16" l="1"/>
  <c r="U13" i="16" s="1"/>
  <c r="AA13" i="16" s="1"/>
  <c r="AB13" i="16" s="1"/>
  <c r="AC13" i="16" s="1"/>
  <c r="H14" i="16" s="1"/>
  <c r="R21" i="15"/>
  <c r="J22" i="14"/>
  <c r="K22" i="14" s="1"/>
  <c r="S21" i="13"/>
  <c r="T21" i="13" s="1"/>
  <c r="U21" i="13" s="1"/>
  <c r="H22" i="13" s="1"/>
  <c r="J22" i="13" s="1"/>
  <c r="K22" i="13" s="1"/>
  <c r="J17" i="12"/>
  <c r="K17" i="12" s="1"/>
  <c r="V13" i="11"/>
  <c r="AB13" i="11"/>
  <c r="AC13" i="11" s="1"/>
  <c r="AD13" i="11" s="1"/>
  <c r="AF13" i="11" s="1"/>
  <c r="AG13" i="11" s="1"/>
  <c r="AH13" i="11" s="1"/>
  <c r="H14" i="11" s="1"/>
  <c r="J14" i="11" s="1"/>
  <c r="K14" i="11" s="1"/>
  <c r="L14" i="11" s="1"/>
  <c r="N11" i="4"/>
  <c r="J14" i="16" l="1"/>
  <c r="K14" i="16" s="1"/>
  <c r="S21" i="15"/>
  <c r="T21" i="15" s="1"/>
  <c r="U21" i="15" s="1"/>
  <c r="H22" i="15" s="1"/>
  <c r="J22" i="15" s="1"/>
  <c r="K22" i="15" s="1"/>
  <c r="L22" i="15" s="1"/>
  <c r="M22" i="15" s="1"/>
  <c r="L22" i="14"/>
  <c r="M22" i="14" s="1"/>
  <c r="L22" i="13"/>
  <c r="M22" i="13" s="1"/>
  <c r="L17" i="12"/>
  <c r="M17" i="12" s="1"/>
  <c r="N17" i="12" s="1"/>
  <c r="M14" i="11"/>
  <c r="R14" i="11" s="1"/>
  <c r="O14" i="11"/>
  <c r="O11" i="4"/>
  <c r="P11" i="4" s="1"/>
  <c r="G12" i="4" s="1"/>
  <c r="L14" i="16" l="1"/>
  <c r="N14" i="16"/>
  <c r="O22" i="15"/>
  <c r="N22" i="15"/>
  <c r="Q22" i="15" s="1"/>
  <c r="O22" i="14"/>
  <c r="N22" i="14"/>
  <c r="Q22" i="14" s="1"/>
  <c r="R22" i="14" s="1"/>
  <c r="S22" i="14" s="1"/>
  <c r="T22" i="14" s="1"/>
  <c r="U22" i="14" s="1"/>
  <c r="H23" i="14" s="1"/>
  <c r="N22" i="13"/>
  <c r="Q22" i="13" s="1"/>
  <c r="O22" i="13"/>
  <c r="O17" i="12"/>
  <c r="Q17" i="12"/>
  <c r="R17" i="12" s="1"/>
  <c r="S17" i="12" s="1"/>
  <c r="S14" i="11"/>
  <c r="W14" i="11"/>
  <c r="X14" i="11" s="1"/>
  <c r="Q14" i="11"/>
  <c r="AE14" i="11" s="1"/>
  <c r="T14" i="11"/>
  <c r="P14" i="11"/>
  <c r="I12" i="4"/>
  <c r="J12" i="4" s="1"/>
  <c r="K12" i="4" s="1"/>
  <c r="L12" i="4" s="1"/>
  <c r="M12" i="4" s="1"/>
  <c r="Y14" i="16" l="1"/>
  <c r="M14" i="16"/>
  <c r="O14" i="16"/>
  <c r="P14" i="16" s="1"/>
  <c r="R14" i="16"/>
  <c r="R22" i="15"/>
  <c r="J23" i="14"/>
  <c r="K23" i="14" s="1"/>
  <c r="R22" i="13"/>
  <c r="S22" i="13" s="1"/>
  <c r="T22" i="13" s="1"/>
  <c r="U22" i="13" s="1"/>
  <c r="H23" i="13" s="1"/>
  <c r="J23" i="13" s="1"/>
  <c r="K23" i="13" s="1"/>
  <c r="N14" i="11"/>
  <c r="Z14" i="11"/>
  <c r="AA14" i="11" s="1"/>
  <c r="Y14" i="11"/>
  <c r="U14" i="11"/>
  <c r="N12" i="4"/>
  <c r="S14" i="16" l="1"/>
  <c r="V14" i="16"/>
  <c r="W14" i="16" s="1"/>
  <c r="X14" i="16" s="1"/>
  <c r="Z14" i="16" s="1"/>
  <c r="AA14" i="16" s="1"/>
  <c r="AB14" i="16" s="1"/>
  <c r="AC14" i="16" s="1"/>
  <c r="H15" i="16" s="1"/>
  <c r="Q14" i="16"/>
  <c r="T14" i="16" s="1"/>
  <c r="U14" i="16" s="1"/>
  <c r="S22" i="15"/>
  <c r="T22" i="15" s="1"/>
  <c r="U22" i="15" s="1"/>
  <c r="H23" i="15" s="1"/>
  <c r="J23" i="15" s="1"/>
  <c r="K23" i="15" s="1"/>
  <c r="V14" i="11"/>
  <c r="AB14" i="11"/>
  <c r="AC14" i="11" s="1"/>
  <c r="AD14" i="11" s="1"/>
  <c r="AF14" i="11" s="1"/>
  <c r="AG14" i="11" s="1"/>
  <c r="AH14" i="11" s="1"/>
  <c r="H15" i="11" s="1"/>
  <c r="J15" i="11" s="1"/>
  <c r="K15" i="11" s="1"/>
  <c r="O12" i="4"/>
  <c r="P12" i="4" s="1"/>
  <c r="G13" i="4" s="1"/>
  <c r="I13" i="4" s="1"/>
  <c r="J13" i="4" s="1"/>
  <c r="K13" i="4" s="1"/>
  <c r="J15" i="16" l="1"/>
  <c r="K15" i="16" s="1"/>
  <c r="T17" i="12"/>
  <c r="U17" i="12" s="1"/>
  <c r="H18" i="12" s="1"/>
  <c r="J18" i="12" s="1"/>
  <c r="K18" i="12" s="1"/>
  <c r="L15" i="11"/>
  <c r="L13" i="4"/>
  <c r="M13" i="4" s="1"/>
  <c r="N13" i="4" s="1"/>
  <c r="O13" i="4" s="1"/>
  <c r="N15" i="16" l="1"/>
  <c r="L15" i="16"/>
  <c r="L18" i="12"/>
  <c r="M18" i="12" s="1"/>
  <c r="N18" i="12" s="1"/>
  <c r="M15" i="11"/>
  <c r="R15" i="11" s="1"/>
  <c r="O15" i="11"/>
  <c r="P13" i="4"/>
  <c r="G14" i="4" s="1"/>
  <c r="Y15" i="16" l="1"/>
  <c r="M15" i="16"/>
  <c r="O15" i="16"/>
  <c r="P15" i="16" s="1"/>
  <c r="R15" i="16"/>
  <c r="O18" i="12"/>
  <c r="Q18" i="12"/>
  <c r="R18" i="12" s="1"/>
  <c r="S18" i="12" s="1"/>
  <c r="S15" i="11"/>
  <c r="W15" i="11"/>
  <c r="X15" i="11" s="1"/>
  <c r="Q15" i="11"/>
  <c r="AE15" i="11" s="1"/>
  <c r="T15" i="11"/>
  <c r="P15" i="11"/>
  <c r="I14" i="4"/>
  <c r="J14" i="4" s="1"/>
  <c r="K14" i="4" s="1"/>
  <c r="S15" i="16" l="1"/>
  <c r="V15" i="16"/>
  <c r="W15" i="16" s="1"/>
  <c r="X15" i="16" s="1"/>
  <c r="Z15" i="16" s="1"/>
  <c r="AA15" i="16" s="1"/>
  <c r="AB15" i="16" s="1"/>
  <c r="AC15" i="16" s="1"/>
  <c r="H16" i="16" s="1"/>
  <c r="Q15" i="16"/>
  <c r="T15" i="16" s="1"/>
  <c r="U15" i="16" s="1"/>
  <c r="N15" i="11"/>
  <c r="Z15" i="11"/>
  <c r="AA15" i="11" s="1"/>
  <c r="Y15" i="11"/>
  <c r="U15" i="11"/>
  <c r="L14" i="4"/>
  <c r="M14" i="4" s="1"/>
  <c r="N14" i="4" s="1"/>
  <c r="O14" i="4" s="1"/>
  <c r="J16" i="16" l="1"/>
  <c r="K16" i="16" s="1"/>
  <c r="V15" i="11"/>
  <c r="AB15" i="11"/>
  <c r="AC15" i="11" s="1"/>
  <c r="AD15" i="11" s="1"/>
  <c r="AF15" i="11" s="1"/>
  <c r="AG15" i="11" s="1"/>
  <c r="AH15" i="11" s="1"/>
  <c r="H16" i="11" s="1"/>
  <c r="J16" i="11" s="1"/>
  <c r="K16" i="11" s="1"/>
  <c r="P14" i="4"/>
  <c r="G15" i="4" s="1"/>
  <c r="N16" i="16" l="1"/>
  <c r="L16" i="16"/>
  <c r="T18" i="12"/>
  <c r="U18" i="12" s="1"/>
  <c r="H19" i="12" s="1"/>
  <c r="J19" i="12" s="1"/>
  <c r="K19" i="12" s="1"/>
  <c r="L16" i="11"/>
  <c r="I15" i="4"/>
  <c r="J15" i="4" s="1"/>
  <c r="K15" i="4" s="1"/>
  <c r="M16" i="16" l="1"/>
  <c r="Y16" i="16"/>
  <c r="O16" i="16"/>
  <c r="P16" i="16" s="1"/>
  <c r="R16" i="16"/>
  <c r="L19" i="12"/>
  <c r="M19" i="12" s="1"/>
  <c r="N19" i="12" s="1"/>
  <c r="M16" i="11"/>
  <c r="R16" i="11" s="1"/>
  <c r="O16" i="11"/>
  <c r="L15" i="4"/>
  <c r="M15" i="4" s="1"/>
  <c r="N15" i="4" s="1"/>
  <c r="O15" i="4" s="1"/>
  <c r="S16" i="16" l="1"/>
  <c r="V16" i="16"/>
  <c r="W16" i="16" s="1"/>
  <c r="X16" i="16" s="1"/>
  <c r="Z16" i="16" s="1"/>
  <c r="AA16" i="16" s="1"/>
  <c r="AB16" i="16" s="1"/>
  <c r="AC16" i="16" s="1"/>
  <c r="H17" i="16" s="1"/>
  <c r="Q16" i="16"/>
  <c r="T16" i="16" s="1"/>
  <c r="U16" i="16" s="1"/>
  <c r="O19" i="12"/>
  <c r="Q19" i="12"/>
  <c r="R19" i="12" s="1"/>
  <c r="S19" i="12" s="1"/>
  <c r="S16" i="11"/>
  <c r="W16" i="11"/>
  <c r="X16" i="11" s="1"/>
  <c r="Q16" i="11"/>
  <c r="T16" i="11"/>
  <c r="P16" i="11"/>
  <c r="P15" i="4"/>
  <c r="G16" i="4" s="1"/>
  <c r="J17" i="16" l="1"/>
  <c r="K17" i="16" s="1"/>
  <c r="AE16" i="11"/>
  <c r="N16" i="11"/>
  <c r="Z16" i="11"/>
  <c r="AA16" i="11" s="1"/>
  <c r="Y16" i="11"/>
  <c r="U16" i="11"/>
  <c r="I16" i="4"/>
  <c r="J16" i="4"/>
  <c r="K16" i="4" s="1"/>
  <c r="N17" i="16" l="1"/>
  <c r="L17" i="16"/>
  <c r="V16" i="11"/>
  <c r="AB16" i="11"/>
  <c r="AC16" i="11" s="1"/>
  <c r="AD16" i="11" s="1"/>
  <c r="AF16" i="11" s="1"/>
  <c r="AG16" i="11" s="1"/>
  <c r="AH16" i="11" s="1"/>
  <c r="H17" i="11" s="1"/>
  <c r="J17" i="11" s="1"/>
  <c r="K17" i="11" s="1"/>
  <c r="L17" i="11" s="1"/>
  <c r="L16" i="4"/>
  <c r="M16" i="4" s="1"/>
  <c r="N16" i="4" s="1"/>
  <c r="O16" i="4" s="1"/>
  <c r="Y17" i="16" l="1"/>
  <c r="M17" i="16"/>
  <c r="R17" i="16"/>
  <c r="O17" i="16"/>
  <c r="P17" i="16" s="1"/>
  <c r="T19" i="12"/>
  <c r="U19" i="12" s="1"/>
  <c r="H20" i="12" s="1"/>
  <c r="M17" i="11"/>
  <c r="R17" i="11" s="1"/>
  <c r="O17" i="11"/>
  <c r="P16" i="4"/>
  <c r="G17" i="4" s="1"/>
  <c r="V17" i="16" l="1"/>
  <c r="W17" i="16" s="1"/>
  <c r="X17" i="16" s="1"/>
  <c r="Z17" i="16" s="1"/>
  <c r="Q17" i="16"/>
  <c r="S17" i="16"/>
  <c r="J20" i="12"/>
  <c r="K20" i="12" s="1"/>
  <c r="S17" i="11"/>
  <c r="W17" i="11"/>
  <c r="X17" i="11" s="1"/>
  <c r="Q17" i="11"/>
  <c r="AE17" i="11" s="1"/>
  <c r="T17" i="11"/>
  <c r="P17" i="11"/>
  <c r="I17" i="4"/>
  <c r="J17" i="4" s="1"/>
  <c r="K17" i="4" s="1"/>
  <c r="T17" i="16" l="1"/>
  <c r="U17" i="16" s="1"/>
  <c r="AA17" i="16" s="1"/>
  <c r="AB17" i="16" s="1"/>
  <c r="AC17" i="16" s="1"/>
  <c r="H18" i="16" s="1"/>
  <c r="L20" i="12"/>
  <c r="M20" i="12" s="1"/>
  <c r="N20" i="12" s="1"/>
  <c r="N17" i="11"/>
  <c r="Z17" i="11"/>
  <c r="AA17" i="11" s="1"/>
  <c r="Y17" i="11"/>
  <c r="U17" i="11"/>
  <c r="L17" i="4"/>
  <c r="M17" i="4" s="1"/>
  <c r="N17" i="4" s="1"/>
  <c r="O17" i="4" s="1"/>
  <c r="J18" i="16" l="1"/>
  <c r="K18" i="16" s="1"/>
  <c r="O20" i="12"/>
  <c r="Q20" i="12"/>
  <c r="R20" i="12" s="1"/>
  <c r="S20" i="12" s="1"/>
  <c r="V17" i="11"/>
  <c r="AB17" i="11"/>
  <c r="AC17" i="11" s="1"/>
  <c r="AD17" i="11" s="1"/>
  <c r="AF17" i="11" s="1"/>
  <c r="AG17" i="11" s="1"/>
  <c r="AH17" i="11" s="1"/>
  <c r="H18" i="11" s="1"/>
  <c r="J18" i="11" s="1"/>
  <c r="K18" i="11" s="1"/>
  <c r="L18" i="11" s="1"/>
  <c r="P17" i="4"/>
  <c r="G18" i="4" s="1"/>
  <c r="N18" i="16" l="1"/>
  <c r="L18" i="16"/>
  <c r="M18" i="11"/>
  <c r="R18" i="11" s="1"/>
  <c r="O18" i="11"/>
  <c r="I18" i="4"/>
  <c r="J18" i="4" s="1"/>
  <c r="K18" i="4" s="1"/>
  <c r="M18" i="16" l="1"/>
  <c r="Y18" i="16"/>
  <c r="R18" i="16"/>
  <c r="O18" i="16"/>
  <c r="P18" i="16" s="1"/>
  <c r="S18" i="11"/>
  <c r="W18" i="11"/>
  <c r="X18" i="11" s="1"/>
  <c r="Q18" i="11"/>
  <c r="T18" i="11"/>
  <c r="P18" i="11"/>
  <c r="L18" i="4"/>
  <c r="M18" i="4" s="1"/>
  <c r="N18" i="4" s="1"/>
  <c r="O18" i="4" s="1"/>
  <c r="Q18" i="16" l="1"/>
  <c r="T18" i="16" s="1"/>
  <c r="U18" i="16" s="1"/>
  <c r="V18" i="16"/>
  <c r="S18" i="16"/>
  <c r="W18" i="16"/>
  <c r="X18" i="16" s="1"/>
  <c r="Z18" i="16" s="1"/>
  <c r="T20" i="12"/>
  <c r="U20" i="12" s="1"/>
  <c r="H21" i="12" s="1"/>
  <c r="AE18" i="11"/>
  <c r="N18" i="11"/>
  <c r="Z18" i="11"/>
  <c r="AA18" i="11" s="1"/>
  <c r="Y18" i="11"/>
  <c r="U18" i="11"/>
  <c r="P18" i="4"/>
  <c r="G19" i="4" s="1"/>
  <c r="AA18" i="16" l="1"/>
  <c r="AB18" i="16" s="1"/>
  <c r="AC18" i="16" s="1"/>
  <c r="H19" i="16" s="1"/>
  <c r="J21" i="12"/>
  <c r="K21" i="12" s="1"/>
  <c r="V18" i="11"/>
  <c r="AB18" i="11"/>
  <c r="AC18" i="11" s="1"/>
  <c r="AD18" i="11" s="1"/>
  <c r="AF18" i="11" s="1"/>
  <c r="AG18" i="11" s="1"/>
  <c r="AH18" i="11" s="1"/>
  <c r="H19" i="11" s="1"/>
  <c r="J19" i="11" s="1"/>
  <c r="K19" i="11" s="1"/>
  <c r="I19" i="4"/>
  <c r="J19" i="4" s="1"/>
  <c r="AB7" i="9"/>
  <c r="AC7" i="9" s="1"/>
  <c r="H8" i="9" s="1"/>
  <c r="K19" i="16" l="1"/>
  <c r="J19" i="16"/>
  <c r="L21" i="12"/>
  <c r="M21" i="12" s="1"/>
  <c r="N21" i="12" s="1"/>
  <c r="J8" i="9"/>
  <c r="K8" i="9" s="1"/>
  <c r="O21" i="12" l="1"/>
  <c r="Q21" i="12"/>
  <c r="R21" i="12" s="1"/>
  <c r="S21" i="12" s="1"/>
  <c r="L8" i="9"/>
  <c r="Y8" i="9" s="1"/>
  <c r="N8" i="9"/>
  <c r="R8" i="9"/>
  <c r="M8" i="9"/>
  <c r="O8" i="9"/>
  <c r="P8" i="9" s="1"/>
  <c r="AD7" i="9" s="1"/>
  <c r="Q8" i="9" l="1"/>
  <c r="V8" i="9"/>
  <c r="W8" i="9" s="1"/>
  <c r="S8" i="9"/>
  <c r="X8" i="9" l="1"/>
  <c r="Z8" i="9" s="1"/>
  <c r="U8" i="9"/>
  <c r="T21" i="12" l="1"/>
  <c r="U21" i="12" s="1"/>
  <c r="H22" i="12" s="1"/>
  <c r="AA8" i="9"/>
  <c r="AB8" i="9" s="1"/>
  <c r="AC8" i="9" s="1"/>
  <c r="H9" i="9" s="1"/>
  <c r="J9" i="9" s="1"/>
  <c r="K9" i="9" s="1"/>
  <c r="J22" i="12" l="1"/>
  <c r="K22" i="12" s="1"/>
  <c r="N9" i="9"/>
  <c r="L9" i="9"/>
  <c r="L22" i="12" l="1"/>
  <c r="M22" i="12" s="1"/>
  <c r="N22" i="12" s="1"/>
  <c r="M9" i="9"/>
  <c r="Y9" i="9"/>
  <c r="O9" i="9"/>
  <c r="P9" i="9" s="1"/>
  <c r="R9" i="9"/>
  <c r="O22" i="12" l="1"/>
  <c r="Q22" i="12"/>
  <c r="R22" i="12" s="1"/>
  <c r="S22" i="12" s="1"/>
  <c r="S9" i="9"/>
  <c r="V9" i="9"/>
  <c r="W9" i="9" s="1"/>
  <c r="Q9" i="9"/>
  <c r="T9" i="9" s="1"/>
  <c r="U9" i="9" l="1"/>
  <c r="X9" i="9"/>
  <c r="Z9" i="9" s="1"/>
  <c r="AA9" i="9" l="1"/>
  <c r="AB9" i="9" s="1"/>
  <c r="AC9" i="9" s="1"/>
  <c r="H10" i="9" s="1"/>
  <c r="J10" i="9" s="1"/>
  <c r="K10" i="9" s="1"/>
  <c r="N10" i="9" s="1"/>
  <c r="L10" i="9" l="1"/>
  <c r="T22" i="12"/>
  <c r="U22" i="12" s="1"/>
  <c r="H23" i="12" s="1"/>
  <c r="O10" i="9"/>
  <c r="P10" i="9" s="1"/>
  <c r="M10" i="9"/>
  <c r="Y10" i="9"/>
  <c r="R10" i="9"/>
  <c r="J23" i="12" l="1"/>
  <c r="K23" i="12" s="1"/>
  <c r="S10" i="9"/>
  <c r="V10" i="9"/>
  <c r="W10" i="9" s="1"/>
  <c r="Q10" i="9"/>
  <c r="T10" i="9" s="1"/>
  <c r="U10" i="9" l="1"/>
  <c r="X10" i="9"/>
  <c r="Z10" i="9" s="1"/>
  <c r="AA10" i="9" l="1"/>
  <c r="AB10" i="9" s="1"/>
  <c r="AC10" i="9" s="1"/>
  <c r="H11" i="9" s="1"/>
  <c r="J11" i="9" s="1"/>
  <c r="K11" i="9" s="1"/>
  <c r="L11" i="9" s="1"/>
  <c r="N11" i="9" l="1"/>
  <c r="M11" i="9"/>
  <c r="Y11" i="9"/>
  <c r="O11" i="9"/>
  <c r="P11" i="9" s="1"/>
  <c r="R11" i="9"/>
  <c r="S11" i="9" l="1"/>
  <c r="Q11" i="9"/>
  <c r="T11" i="9" s="1"/>
  <c r="V11" i="9"/>
  <c r="W11" i="9" s="1"/>
  <c r="U11" i="9" l="1"/>
  <c r="X11" i="9"/>
  <c r="Z11" i="9" s="1"/>
  <c r="AA11" i="9" l="1"/>
  <c r="AB11" i="9" s="1"/>
  <c r="AC11" i="9" s="1"/>
  <c r="H12" i="9" s="1"/>
  <c r="J12" i="9" s="1"/>
  <c r="K12" i="9" s="1"/>
  <c r="N12" i="9" l="1"/>
  <c r="L12" i="9"/>
  <c r="R12" i="9" s="1"/>
  <c r="Y12" i="9" l="1"/>
  <c r="O12" i="9"/>
  <c r="P12" i="9" s="1"/>
  <c r="M12" i="9"/>
  <c r="S12" i="9"/>
  <c r="V12" i="9" l="1"/>
  <c r="W12" i="9" s="1"/>
  <c r="X12" i="9" s="1"/>
  <c r="Z12" i="9" s="1"/>
  <c r="Q12" i="9"/>
  <c r="T12" i="9" s="1"/>
  <c r="U12" i="9" l="1"/>
  <c r="AA12" i="9" s="1"/>
  <c r="AB12" i="9" s="1"/>
  <c r="AC12" i="9" s="1"/>
  <c r="H13" i="9" s="1"/>
  <c r="J13" i="9" l="1"/>
  <c r="K13" i="9" s="1"/>
  <c r="L13" i="9" l="1"/>
  <c r="N13" i="9"/>
  <c r="Y13" i="9"/>
  <c r="R13" i="9"/>
  <c r="O13" i="9"/>
  <c r="P13" i="9" s="1"/>
  <c r="M13" i="9"/>
  <c r="V13" i="9" l="1"/>
  <c r="Q13" i="9"/>
  <c r="W13" i="9"/>
  <c r="S13" i="9"/>
  <c r="T13" i="9" l="1"/>
  <c r="U13" i="9" s="1"/>
  <c r="X13" i="9"/>
  <c r="Z13" i="9" s="1"/>
  <c r="AA13" i="9" l="1"/>
  <c r="AB13" i="9" s="1"/>
  <c r="AC13" i="9" s="1"/>
  <c r="H14" i="9" s="1"/>
  <c r="J14" i="9" l="1"/>
  <c r="K14" i="9" s="1"/>
  <c r="L14" i="9" l="1"/>
  <c r="N14" i="9"/>
  <c r="O14" i="9"/>
  <c r="P14" i="9" s="1"/>
  <c r="Y14" i="9"/>
  <c r="R14" i="9"/>
  <c r="M14" i="9"/>
  <c r="S14" i="9" l="1"/>
  <c r="V14" i="9"/>
  <c r="W14" i="9" s="1"/>
  <c r="Q14" i="9"/>
  <c r="T14" i="9" s="1"/>
  <c r="U14" i="9" l="1"/>
  <c r="X14" i="9"/>
  <c r="Z14" i="9" s="1"/>
  <c r="AA14" i="9" l="1"/>
  <c r="AB14" i="9" s="1"/>
  <c r="AC14" i="9" s="1"/>
  <c r="H15" i="9" s="1"/>
  <c r="J15" i="9" s="1"/>
  <c r="K15" i="9" s="1"/>
  <c r="L15" i="9" s="1"/>
  <c r="N15" i="9" l="1"/>
  <c r="M15" i="9"/>
  <c r="Y15" i="9"/>
  <c r="R15" i="9"/>
  <c r="O15" i="9"/>
  <c r="P15" i="9" s="1"/>
  <c r="V15" i="9" l="1"/>
  <c r="Q15" i="9"/>
  <c r="S15" i="9"/>
  <c r="W15" i="9"/>
  <c r="T15" i="9" l="1"/>
  <c r="U15" i="9" s="1"/>
  <c r="X15" i="9"/>
  <c r="Z15" i="9" s="1"/>
  <c r="AA15" i="9" l="1"/>
  <c r="AB15" i="9" s="1"/>
  <c r="AC15" i="9" s="1"/>
  <c r="H16" i="9" s="1"/>
  <c r="J16" i="9" s="1"/>
  <c r="K16" i="9" s="1"/>
  <c r="N16" i="9" l="1"/>
  <c r="L16" i="9"/>
  <c r="Y16" i="9" l="1"/>
  <c r="O16" i="9"/>
  <c r="P16" i="9" s="1"/>
  <c r="M16" i="9"/>
  <c r="R16" i="9"/>
  <c r="S16" i="9" l="1"/>
  <c r="Q16" i="9"/>
  <c r="T16" i="9" s="1"/>
  <c r="V16" i="9"/>
  <c r="W16" i="9" s="1"/>
  <c r="U16" i="9" l="1"/>
  <c r="X16" i="9"/>
  <c r="Z16" i="9" s="1"/>
  <c r="AA16" i="9" l="1"/>
  <c r="AB16" i="9" s="1"/>
  <c r="AC16" i="9" s="1"/>
  <c r="H17" i="9" s="1"/>
  <c r="J17" i="9" s="1"/>
  <c r="K17" i="9" s="1"/>
  <c r="L17" i="9" l="1"/>
  <c r="N17" i="9"/>
  <c r="O17" i="9"/>
  <c r="P17" i="9" s="1"/>
  <c r="R17" i="9"/>
  <c r="Y17" i="9"/>
  <c r="M17" i="9"/>
  <c r="S17" i="9" l="1"/>
  <c r="V17" i="9"/>
  <c r="W17" i="9" s="1"/>
  <c r="Q17" i="9"/>
  <c r="T17" i="9" s="1"/>
  <c r="U17" i="9" l="1"/>
  <c r="X17" i="9"/>
  <c r="Z17" i="9" s="1"/>
  <c r="AA17" i="9" l="1"/>
  <c r="AB17" i="9" s="1"/>
  <c r="AC17" i="9" s="1"/>
  <c r="H18" i="9" s="1"/>
  <c r="J18" i="9" s="1"/>
  <c r="K18" i="9" s="1"/>
  <c r="L18" i="9" s="1"/>
  <c r="N18" i="9" l="1"/>
  <c r="M18" i="9"/>
  <c r="R18" i="9"/>
  <c r="Y18" i="9"/>
  <c r="O18" i="9"/>
  <c r="P18" i="9" s="1"/>
  <c r="Q18" i="9" l="1"/>
  <c r="V18" i="9"/>
  <c r="W18" i="9" s="1"/>
  <c r="S18" i="9"/>
  <c r="T18" i="9" l="1"/>
  <c r="U18" i="9" s="1"/>
  <c r="X18" i="9"/>
  <c r="Z18" i="9" s="1"/>
  <c r="AA18" i="9" l="1"/>
  <c r="AB18" i="9" s="1"/>
  <c r="AC18" i="9" s="1"/>
  <c r="H19" i="9" s="1"/>
  <c r="J19" i="9" l="1"/>
  <c r="K19" i="9" s="1"/>
</calcChain>
</file>

<file path=xl/sharedStrings.xml><?xml version="1.0" encoding="utf-8"?>
<sst xmlns="http://schemas.openxmlformats.org/spreadsheetml/2006/main" count="883" uniqueCount="157">
  <si>
    <t>a</t>
  </si>
  <si>
    <t>b</t>
  </si>
  <si>
    <t>Ro</t>
  </si>
  <si>
    <t>u</t>
  </si>
  <si>
    <t>T</t>
  </si>
  <si>
    <t>Q</t>
  </si>
  <si>
    <t>L</t>
  </si>
  <si>
    <t>ppl</t>
  </si>
  <si>
    <t>p</t>
  </si>
  <si>
    <t>pzab</t>
  </si>
  <si>
    <t>z</t>
  </si>
  <si>
    <t>Tzab</t>
  </si>
  <si>
    <t>Tust</t>
  </si>
  <si>
    <t>Tsr</t>
  </si>
  <si>
    <t>dt</t>
  </si>
  <si>
    <t>RoGas</t>
  </si>
  <si>
    <t>Lamda</t>
  </si>
  <si>
    <t xml:space="preserve">d </t>
  </si>
  <si>
    <t>dp</t>
  </si>
  <si>
    <t>S1</t>
  </si>
  <si>
    <t>S2</t>
  </si>
  <si>
    <t>zust</t>
  </si>
  <si>
    <t>zsr</t>
  </si>
  <si>
    <t>Re</t>
  </si>
  <si>
    <t>Мпа</t>
  </si>
  <si>
    <t>Mu</t>
  </si>
  <si>
    <t>D</t>
  </si>
  <si>
    <t>мм</t>
  </si>
  <si>
    <t>e</t>
  </si>
  <si>
    <t>l</t>
  </si>
  <si>
    <t>dp/dl</t>
  </si>
  <si>
    <t>Па/м</t>
  </si>
  <si>
    <t>e-2S</t>
  </si>
  <si>
    <t>Pu</t>
  </si>
  <si>
    <t>тыс.м3/сут</t>
  </si>
  <si>
    <t>МПа</t>
  </si>
  <si>
    <t>K</t>
  </si>
  <si>
    <t>кг/м3</t>
  </si>
  <si>
    <t>при ст.усл.</t>
  </si>
  <si>
    <t xml:space="preserve">м </t>
  </si>
  <si>
    <t>Па м</t>
  </si>
  <si>
    <r>
      <t>МПа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/(тыс.м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/сут)</t>
    </r>
  </si>
  <si>
    <r>
      <t>МПа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/(тыс.м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/сут)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</si>
  <si>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тыс 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/сут</t>
    </r>
  </si>
  <si>
    <r>
      <t>кг/м</t>
    </r>
    <r>
      <rPr>
        <b/>
        <vertAlign val="superscript"/>
        <sz val="11"/>
        <color theme="1"/>
        <rFont val="Calibri"/>
        <family val="2"/>
        <charset val="204"/>
        <scheme val="minor"/>
      </rPr>
      <t>3</t>
    </r>
  </si>
  <si>
    <t>м/с</t>
  </si>
  <si>
    <t>м</t>
  </si>
  <si>
    <r>
      <t>q</t>
    </r>
    <r>
      <rPr>
        <vertAlign val="subscript"/>
        <sz val="11"/>
        <color theme="1"/>
        <rFont val="Calibri"/>
        <family val="2"/>
        <scheme val="minor"/>
      </rPr>
      <t>г</t>
    </r>
    <r>
      <rPr>
        <sz val="11"/>
        <color theme="1"/>
        <rFont val="Calibri"/>
        <family val="2"/>
        <scheme val="minor"/>
      </rPr>
      <t xml:space="preserve"> =</t>
    </r>
  </si>
  <si>
    <r>
      <t>м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/с</t>
    </r>
  </si>
  <si>
    <t>Расчет по методу Дарси-Вейсбаха</t>
  </si>
  <si>
    <t>Расчет по формуле Адамова</t>
  </si>
  <si>
    <t>Итерация 1</t>
  </si>
  <si>
    <t>Итерация 2</t>
  </si>
  <si>
    <t>кГ/см2</t>
  </si>
  <si>
    <t>мм рт ст</t>
  </si>
  <si>
    <t xml:space="preserve"> кг/м³.</t>
  </si>
  <si>
    <t>кг/м2</t>
  </si>
  <si>
    <t>1 Мпа</t>
  </si>
  <si>
    <t>Па</t>
  </si>
  <si>
    <t>1 кГ/см2</t>
  </si>
  <si>
    <t>техн ат</t>
  </si>
  <si>
    <t>ат</t>
  </si>
  <si>
    <t>м/с2</t>
  </si>
  <si>
    <r>
      <t>н/м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</si>
  <si>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g</t>
  </si>
  <si>
    <t>физ ат</t>
  </si>
  <si>
    <t>760 мм рт ст</t>
  </si>
  <si>
    <t>атм</t>
  </si>
  <si>
    <t>плотность ртути</t>
  </si>
  <si>
    <t xml:space="preserve"> кг/м³</t>
  </si>
  <si>
    <t>Забой</t>
  </si>
  <si>
    <t>Устье</t>
  </si>
  <si>
    <t>ВГФ</t>
  </si>
  <si>
    <t>см3/м3</t>
  </si>
  <si>
    <t>q ж</t>
  </si>
  <si>
    <t>л/сут</t>
  </si>
  <si>
    <t>v</t>
  </si>
  <si>
    <t>j</t>
  </si>
  <si>
    <t>u ист</t>
  </si>
  <si>
    <t>v ист</t>
  </si>
  <si>
    <t>Расчет скважины по методу Грэя</t>
  </si>
  <si>
    <t>Roж</t>
  </si>
  <si>
    <t>s</t>
  </si>
  <si>
    <t>R</t>
  </si>
  <si>
    <t>B</t>
  </si>
  <si>
    <t>D1</t>
  </si>
  <si>
    <r>
      <t>D</t>
    </r>
    <r>
      <rPr>
        <vertAlign val="subscript"/>
        <sz val="11"/>
        <color theme="1"/>
        <rFont val="Symbol"/>
        <family val="1"/>
        <charset val="2"/>
      </rPr>
      <t>0</t>
    </r>
  </si>
  <si>
    <r>
      <t xml:space="preserve">l </t>
    </r>
    <r>
      <rPr>
        <b/>
        <vertAlign val="subscript"/>
        <sz val="11"/>
        <color theme="1"/>
        <rFont val="Times New Roman"/>
        <family val="1"/>
        <charset val="204"/>
      </rPr>
      <t>см</t>
    </r>
  </si>
  <si>
    <r>
      <rPr>
        <b/>
        <sz val="11"/>
        <color theme="1"/>
        <rFont val="Symbol"/>
        <family val="1"/>
        <charset val="2"/>
      </rPr>
      <t>r</t>
    </r>
    <r>
      <rPr>
        <b/>
        <vertAlign val="subscript"/>
        <sz val="11"/>
        <color theme="1"/>
        <rFont val="Times New Roman"/>
        <family val="1"/>
        <charset val="204"/>
      </rPr>
      <t>г</t>
    </r>
  </si>
  <si>
    <r>
      <t xml:space="preserve">U </t>
    </r>
    <r>
      <rPr>
        <b/>
        <vertAlign val="subscript"/>
        <sz val="11"/>
        <color theme="1"/>
        <rFont val="Calibri"/>
        <family val="2"/>
        <charset val="204"/>
        <scheme val="minor"/>
      </rPr>
      <t>см</t>
    </r>
  </si>
  <si>
    <r>
      <t>N</t>
    </r>
    <r>
      <rPr>
        <b/>
        <vertAlign val="subscript"/>
        <sz val="11"/>
        <color theme="1"/>
        <rFont val="Calibri"/>
        <family val="2"/>
        <charset val="204"/>
        <scheme val="minor"/>
      </rPr>
      <t>D</t>
    </r>
  </si>
  <si>
    <r>
      <t>r</t>
    </r>
    <r>
      <rPr>
        <b/>
        <vertAlign val="subscript"/>
        <sz val="11"/>
        <color theme="1"/>
        <rFont val="Symbol"/>
        <family val="1"/>
        <charset val="2"/>
      </rPr>
      <t>b</t>
    </r>
  </si>
  <si>
    <r>
      <t>N</t>
    </r>
    <r>
      <rPr>
        <b/>
        <vertAlign val="subscript"/>
        <sz val="11"/>
        <color theme="1"/>
        <rFont val="Times New Roman"/>
        <family val="1"/>
        <charset val="204"/>
      </rPr>
      <t>v</t>
    </r>
  </si>
  <si>
    <r>
      <t>r</t>
    </r>
    <r>
      <rPr>
        <b/>
        <vertAlign val="subscript"/>
        <sz val="11"/>
        <color theme="1"/>
        <rFont val="Symbol"/>
        <family val="1"/>
        <charset val="2"/>
      </rPr>
      <t>j</t>
    </r>
  </si>
  <si>
    <t>Ek</t>
  </si>
  <si>
    <t>L1</t>
  </si>
  <si>
    <t>Frсм</t>
  </si>
  <si>
    <t>w</t>
  </si>
  <si>
    <t>Nж</t>
  </si>
  <si>
    <t>Пробковый</t>
  </si>
  <si>
    <t>ДК</t>
  </si>
  <si>
    <t>Mu газ</t>
  </si>
  <si>
    <t>Mu ж</t>
  </si>
  <si>
    <t>Па с</t>
  </si>
  <si>
    <t>Epsilon</t>
  </si>
  <si>
    <r>
      <t xml:space="preserve">l </t>
    </r>
    <r>
      <rPr>
        <b/>
        <vertAlign val="subscript"/>
        <sz val="11"/>
        <color theme="1"/>
        <rFont val="Times New Roman"/>
        <family val="1"/>
        <charset val="204"/>
      </rPr>
      <t>1</t>
    </r>
  </si>
  <si>
    <t>y</t>
  </si>
  <si>
    <t>Afr</t>
  </si>
  <si>
    <t>Расчет скважины по методу Беггса-Брилла</t>
  </si>
  <si>
    <t>Расчет скважины по методу ВНИИГАЗа</t>
  </si>
  <si>
    <t>BFr</t>
  </si>
  <si>
    <t>CFr</t>
  </si>
  <si>
    <t>DFr</t>
  </si>
  <si>
    <t>Efr</t>
  </si>
  <si>
    <t>af</t>
  </si>
  <si>
    <t>bf</t>
  </si>
  <si>
    <t>i0</t>
  </si>
  <si>
    <t>Fr0</t>
  </si>
  <si>
    <t>Fr1</t>
  </si>
  <si>
    <t>Fr</t>
  </si>
  <si>
    <t>i1</t>
  </si>
  <si>
    <t>i2</t>
  </si>
  <si>
    <t>GFr</t>
  </si>
  <si>
    <t>i3</t>
  </si>
  <si>
    <t>i</t>
  </si>
  <si>
    <t>л/час</t>
  </si>
  <si>
    <t>Прав</t>
  </si>
  <si>
    <t>Перех</t>
  </si>
  <si>
    <t>Лев</t>
  </si>
  <si>
    <t>Frж</t>
  </si>
  <si>
    <t>Eo</t>
  </si>
  <si>
    <t>DD</t>
  </si>
  <si>
    <t>Bu</t>
  </si>
  <si>
    <t>We</t>
  </si>
  <si>
    <t>Cв</t>
  </si>
  <si>
    <t>Dв</t>
  </si>
  <si>
    <r>
      <t>j</t>
    </r>
    <r>
      <rPr>
        <b/>
        <vertAlign val="subscript"/>
        <sz val="11"/>
        <color theme="1"/>
        <rFont val="Symbol"/>
        <family val="1"/>
        <charset val="2"/>
      </rPr>
      <t>0</t>
    </r>
  </si>
  <si>
    <r>
      <t>Mu</t>
    </r>
    <r>
      <rPr>
        <b/>
        <vertAlign val="subscript"/>
        <sz val="11"/>
        <color theme="1"/>
        <rFont val="Times New Roman"/>
        <family val="1"/>
        <charset val="204"/>
      </rPr>
      <t xml:space="preserve"> см</t>
    </r>
  </si>
  <si>
    <t>град</t>
  </si>
  <si>
    <r>
      <t>Fr0(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)</t>
    </r>
  </si>
  <si>
    <r>
      <t>i0(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)</t>
    </r>
  </si>
  <si>
    <r>
      <t>Fr1(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)</t>
    </r>
  </si>
  <si>
    <t>Расчет наклонной скважины по методу ВНИИГАЗа</t>
  </si>
  <si>
    <t>H</t>
  </si>
  <si>
    <t>q liq</t>
  </si>
  <si>
    <t>d</t>
  </si>
  <si>
    <t>Gamma</t>
  </si>
  <si>
    <t>I лев</t>
  </si>
  <si>
    <t>I прав</t>
  </si>
  <si>
    <t>Alfa</t>
  </si>
  <si>
    <t xml:space="preserve">a </t>
  </si>
  <si>
    <t>di</t>
  </si>
  <si>
    <t>C</t>
  </si>
  <si>
    <t>t</t>
  </si>
  <si>
    <t>см</t>
  </si>
  <si>
    <t>градус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</si>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</sst>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000"/>
    <numFmt numFmtId="166" formatCode="#,##0.0"/>
    <numFmt numFmtId="167" formatCode="#,##0.000"/>
    <numFmt numFmtId="168" formatCode="#,##0.00000"/>
    <numFmt numFmtId="169" formatCode="0.000E+00"/>
    <numFmt numFmtId="170" formatCode="0.000000"/>
    <numFmt numFmtId="171" formatCode="#,##0.0000000"/>
    <numFmt numFmtId="172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b/>
      <sz val="11"/>
      <color theme="1"/>
      <name val="Symbol"/>
      <family val="1"/>
      <charset val="204"/>
    </font>
    <font>
      <b/>
      <vertAlign val="super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rgb="FF333333"/>
      <name val="Arial"/>
      <family val="2"/>
      <charset val="204"/>
    </font>
    <font>
      <sz val="8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sz val="16"/>
      <color theme="1"/>
      <name val="Symbol"/>
      <family val="1"/>
      <charset val="204"/>
    </font>
    <font>
      <b/>
      <sz val="16"/>
      <color theme="1"/>
      <name val="Calibri"/>
      <family val="2"/>
      <charset val="204"/>
      <scheme val="minor"/>
    </font>
    <font>
      <sz val="12"/>
      <color theme="1"/>
      <name val="Symbol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bscript"/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b/>
      <vertAlign val="subscript"/>
      <sz val="11"/>
      <color theme="1"/>
      <name val="Times New Roman"/>
      <family val="1"/>
      <charset val="204"/>
    </font>
    <font>
      <b/>
      <sz val="11"/>
      <color theme="1"/>
      <name val="Calibri"/>
      <family val="1"/>
      <charset val="204"/>
    </font>
    <font>
      <b/>
      <vertAlign val="subscript"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9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0" borderId="0" xfId="0" applyFill="1"/>
    <xf numFmtId="0" fontId="0" fillId="4" borderId="0" xfId="0" applyFill="1"/>
    <xf numFmtId="0" fontId="3" fillId="4" borderId="0" xfId="0" applyFont="1" applyFill="1"/>
    <xf numFmtId="0" fontId="0" fillId="5" borderId="0" xfId="0" applyFill="1"/>
    <xf numFmtId="0" fontId="3" fillId="5" borderId="0" xfId="0" applyFont="1" applyFill="1"/>
    <xf numFmtId="3" fontId="0" fillId="5" borderId="0" xfId="0" applyNumberFormat="1" applyFill="1"/>
    <xf numFmtId="165" fontId="0" fillId="5" borderId="0" xfId="0" applyNumberFormat="1" applyFill="1"/>
    <xf numFmtId="0" fontId="0" fillId="5" borderId="0" xfId="0" applyFont="1" applyFill="1"/>
    <xf numFmtId="0" fontId="0" fillId="4" borderId="0" xfId="0" applyFont="1" applyFill="1"/>
    <xf numFmtId="0" fontId="0" fillId="5" borderId="0" xfId="0" applyFont="1" applyFill="1" applyAlignment="1">
      <alignment horizontal="right"/>
    </xf>
    <xf numFmtId="3" fontId="0" fillId="5" borderId="0" xfId="0" applyNumberFormat="1" applyFont="1" applyFill="1"/>
    <xf numFmtId="0" fontId="0" fillId="6" borderId="0" xfId="0" applyFill="1"/>
    <xf numFmtId="0" fontId="4" fillId="6" borderId="0" xfId="0" applyFont="1" applyFill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0" xfId="0" applyFill="1" applyAlignment="1">
      <alignment horizontal="center"/>
    </xf>
    <xf numFmtId="166" fontId="0" fillId="0" borderId="0" xfId="0" applyNumberFormat="1"/>
    <xf numFmtId="167" fontId="0" fillId="0" borderId="0" xfId="0" applyNumberFormat="1"/>
    <xf numFmtId="0" fontId="10" fillId="0" borderId="0" xfId="0" applyFont="1"/>
    <xf numFmtId="168" fontId="0" fillId="0" borderId="0" xfId="0" applyNumberFormat="1"/>
    <xf numFmtId="0" fontId="0" fillId="0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0" borderId="0" xfId="0" applyAlignment="1">
      <alignment horizontal="right"/>
    </xf>
    <xf numFmtId="3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4" fontId="0" fillId="0" borderId="0" xfId="0" applyNumberFormat="1"/>
    <xf numFmtId="0" fontId="3" fillId="0" borderId="0" xfId="0" applyFont="1"/>
    <xf numFmtId="0" fontId="13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164" fontId="0" fillId="0" borderId="0" xfId="0" applyNumberFormat="1" applyFill="1"/>
    <xf numFmtId="0" fontId="4" fillId="0" borderId="2" xfId="0" applyFont="1" applyFill="1" applyBorder="1" applyAlignment="1">
      <alignment horizontal="center"/>
    </xf>
    <xf numFmtId="0" fontId="0" fillId="0" borderId="0" xfId="0" applyFont="1" applyFill="1"/>
    <xf numFmtId="0" fontId="4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0" fillId="0" borderId="0" xfId="0" applyFill="1" applyBorder="1"/>
    <xf numFmtId="0" fontId="4" fillId="0" borderId="0" xfId="0" applyFont="1" applyFill="1" applyBorder="1" applyAlignment="1">
      <alignment horizontal="center"/>
    </xf>
    <xf numFmtId="11" fontId="12" fillId="6" borderId="1" xfId="0" applyNumberFormat="1" applyFont="1" applyFill="1" applyBorder="1" applyAlignment="1">
      <alignment horizontal="center"/>
    </xf>
    <xf numFmtId="11" fontId="0" fillId="6" borderId="0" xfId="0" applyNumberFormat="1" applyFont="1" applyFill="1"/>
    <xf numFmtId="11" fontId="0" fillId="6" borderId="0" xfId="0" applyNumberFormat="1" applyFill="1"/>
    <xf numFmtId="0" fontId="4" fillId="6" borderId="1" xfId="0" applyFont="1" applyFill="1" applyBorder="1" applyAlignment="1">
      <alignment horizontal="center"/>
    </xf>
    <xf numFmtId="11" fontId="0" fillId="0" borderId="0" xfId="0" applyNumberFormat="1" applyFill="1"/>
    <xf numFmtId="0" fontId="13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164" fontId="0" fillId="5" borderId="0" xfId="0" applyNumberFormat="1" applyFill="1"/>
    <xf numFmtId="2" fontId="0" fillId="5" borderId="0" xfId="0" applyNumberFormat="1" applyFill="1"/>
    <xf numFmtId="11" fontId="0" fillId="5" borderId="0" xfId="0" applyNumberFormat="1" applyFont="1" applyFill="1"/>
    <xf numFmtId="0" fontId="17" fillId="0" borderId="0" xfId="0" applyFont="1"/>
    <xf numFmtId="0" fontId="17" fillId="0" borderId="0" xfId="0" applyFont="1" applyFill="1"/>
    <xf numFmtId="11" fontId="18" fillId="5" borderId="1" xfId="0" applyNumberFormat="1" applyFont="1" applyFill="1" applyBorder="1" applyAlignment="1">
      <alignment horizontal="center"/>
    </xf>
    <xf numFmtId="11" fontId="17" fillId="5" borderId="0" xfId="0" applyNumberFormat="1" applyFont="1" applyFill="1"/>
    <xf numFmtId="0" fontId="17" fillId="0" borderId="1" xfId="0" applyFont="1" applyBorder="1" applyAlignment="1">
      <alignment horizontal="center"/>
    </xf>
    <xf numFmtId="2" fontId="0" fillId="5" borderId="0" xfId="0" applyNumberFormat="1" applyFont="1" applyFill="1"/>
    <xf numFmtId="2" fontId="17" fillId="5" borderId="0" xfId="0" applyNumberFormat="1" applyFont="1" applyFill="1"/>
    <xf numFmtId="169" fontId="17" fillId="5" borderId="0" xfId="0" applyNumberFormat="1" applyFont="1" applyFill="1"/>
    <xf numFmtId="170" fontId="17" fillId="5" borderId="0" xfId="0" applyNumberFormat="1" applyFont="1" applyFill="1"/>
    <xf numFmtId="170" fontId="17" fillId="0" borderId="0" xfId="0" applyNumberFormat="1" applyFont="1" applyFill="1"/>
    <xf numFmtId="3" fontId="0" fillId="0" borderId="0" xfId="0" applyNumberFormat="1" applyFill="1"/>
    <xf numFmtId="0" fontId="22" fillId="5" borderId="1" xfId="0" applyFont="1" applyFill="1" applyBorder="1" applyAlignment="1">
      <alignment horizontal="center"/>
    </xf>
    <xf numFmtId="11" fontId="6" fillId="5" borderId="1" xfId="0" applyNumberFormat="1" applyFont="1" applyFill="1" applyBorder="1" applyAlignment="1">
      <alignment horizontal="center"/>
    </xf>
    <xf numFmtId="11" fontId="0" fillId="5" borderId="0" xfId="0" applyNumberFormat="1" applyFill="1"/>
    <xf numFmtId="0" fontId="17" fillId="0" borderId="4" xfId="0" applyFont="1" applyBorder="1" applyAlignment="1">
      <alignment horizontal="center"/>
    </xf>
    <xf numFmtId="11" fontId="12" fillId="5" borderId="5" xfId="0" applyNumberFormat="1" applyFont="1" applyFill="1" applyBorder="1" applyAlignment="1">
      <alignment horizontal="center"/>
    </xf>
    <xf numFmtId="11" fontId="6" fillId="5" borderId="5" xfId="0" applyNumberFormat="1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7" fillId="0" borderId="3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171" fontId="0" fillId="0" borderId="0" xfId="0" applyNumberFormat="1"/>
    <xf numFmtId="165" fontId="18" fillId="5" borderId="1" xfId="0" applyNumberFormat="1" applyFont="1" applyFill="1" applyBorder="1" applyAlignment="1">
      <alignment horizontal="center"/>
    </xf>
    <xf numFmtId="165" fontId="0" fillId="0" borderId="0" xfId="0" applyNumberFormat="1" applyFill="1"/>
    <xf numFmtId="0" fontId="3" fillId="0" borderId="0" xfId="0" applyFont="1" applyFill="1"/>
    <xf numFmtId="2" fontId="0" fillId="0" borderId="0" xfId="0" applyNumberFormat="1" applyFill="1"/>
    <xf numFmtId="3" fontId="0" fillId="0" borderId="0" xfId="0" applyNumberFormat="1" applyFont="1" applyFill="1"/>
    <xf numFmtId="172" fontId="0" fillId="5" borderId="0" xfId="0" applyNumberFormat="1" applyFill="1"/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172" fontId="0" fillId="0" borderId="0" xfId="0" applyNumberFormat="1"/>
    <xf numFmtId="2" fontId="0" fillId="4" borderId="0" xfId="0" applyNumberFormat="1" applyFill="1"/>
    <xf numFmtId="1" fontId="0" fillId="5" borderId="0" xfId="0" applyNumberFormat="1" applyFill="1"/>
    <xf numFmtId="164" fontId="0" fillId="6" borderId="0" xfId="0" applyNumberFormat="1" applyFill="1"/>
    <xf numFmtId="0" fontId="16" fillId="4" borderId="0" xfId="0" applyFont="1" applyFill="1" applyAlignment="1">
      <alignment horizontal="right"/>
    </xf>
    <xf numFmtId="11" fontId="0" fillId="5" borderId="0" xfId="0" applyNumberFormat="1" applyFill="1" applyAlignment="1">
      <alignment horizontal="right"/>
    </xf>
    <xf numFmtId="0" fontId="3" fillId="6" borderId="0" xfId="0" applyFont="1" applyFill="1"/>
    <xf numFmtId="0" fontId="0" fillId="6" borderId="0" xfId="0" applyFont="1" applyFill="1"/>
    <xf numFmtId="0" fontId="0" fillId="0" borderId="1" xfId="0" applyFill="1" applyBorder="1"/>
    <xf numFmtId="0" fontId="4" fillId="0" borderId="0" xfId="0" applyFont="1" applyFill="1"/>
    <xf numFmtId="0" fontId="4" fillId="0" borderId="7" xfId="0" applyFont="1" applyBorder="1" applyAlignment="1">
      <alignment horizontal="center"/>
    </xf>
    <xf numFmtId="0" fontId="0" fillId="5" borderId="1" xfId="0" applyFill="1" applyBorder="1"/>
    <xf numFmtId="0" fontId="0" fillId="7" borderId="0" xfId="0" applyFill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70" fontId="17" fillId="6" borderId="0" xfId="0" applyNumberFormat="1" applyFont="1" applyFill="1"/>
    <xf numFmtId="0" fontId="0" fillId="8" borderId="0" xfId="0" applyFill="1"/>
  </cellXfs>
  <cellStyles count="3">
    <cellStyle name="Обычный" xfId="0" builtinId="0"/>
    <cellStyle name="Обычный 2" xfId="1" xr:uid="{00000000-0005-0000-0000-000001000000}"/>
    <cellStyle name="Обычный 2 2" xfId="2" xr:uid="{00000000-0005-0000-0000-000002000000}"/>
  </cellStyles>
  <dxfs count="0"/>
  <tableStyles count="0" defaultTableStyle="TableStyleMedium2" defaultPivotStyle="PivotStyleMedium9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85892388451443"/>
          <c:y val="0.17171296296296296"/>
          <c:w val="0.85025218722659657"/>
          <c:h val="0.622716170895304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'ВНИИГАЗ ГС'!$K$6:$K$200</c:f>
              <c:numCache>
                <c:formatCode>General</c:formatCode>
                <c:ptCount val="195"/>
                <c:pt idx="0">
                  <c:v>2.3807114731156168E-3</c:v>
                </c:pt>
                <c:pt idx="1">
                  <c:v>2.8806608824698972E-3</c:v>
                </c:pt>
                <c:pt idx="2">
                  <c:v>3.4282245212864876E-3</c:v>
                </c:pt>
                <c:pt idx="3">
                  <c:v>4.0234023895653927E-3</c:v>
                </c:pt>
                <c:pt idx="4">
                  <c:v>4.6661944873066076E-3</c:v>
                </c:pt>
                <c:pt idx="5">
                  <c:v>5.3566008145101377E-3</c:v>
                </c:pt>
                <c:pt idx="6">
                  <c:v>6.0946213711759794E-3</c:v>
                </c:pt>
                <c:pt idx="7">
                  <c:v>6.8802561573041311E-3</c:v>
                </c:pt>
                <c:pt idx="8">
                  <c:v>7.7135051728945995E-3</c:v>
                </c:pt>
                <c:pt idx="9">
                  <c:v>8.5943684179473762E-3</c:v>
                </c:pt>
                <c:pt idx="10">
                  <c:v>9.522845892462467E-3</c:v>
                </c:pt>
                <c:pt idx="11">
                  <c:v>1.049893759643987E-2</c:v>
                </c:pt>
                <c:pt idx="12">
                  <c:v>1.1522643529879589E-2</c:v>
                </c:pt>
                <c:pt idx="13">
                  <c:v>1.2593963692781611E-2</c:v>
                </c:pt>
                <c:pt idx="14">
                  <c:v>1.371289808514595E-2</c:v>
                </c:pt>
                <c:pt idx="15">
                  <c:v>1.4879446706972605E-2</c:v>
                </c:pt>
                <c:pt idx="16">
                  <c:v>1.6093609558261571E-2</c:v>
                </c:pt>
                <c:pt idx="17">
                  <c:v>1.7355386639012847E-2</c:v>
                </c:pt>
                <c:pt idx="18">
                  <c:v>1.8664777949226431E-2</c:v>
                </c:pt>
                <c:pt idx="19">
                  <c:v>2.0021783488902337E-2</c:v>
                </c:pt>
                <c:pt idx="20">
                  <c:v>2.1426403258040551E-2</c:v>
                </c:pt>
                <c:pt idx="21">
                  <c:v>2.287863725664108E-2</c:v>
                </c:pt>
                <c:pt idx="22">
                  <c:v>2.4378485484703918E-2</c:v>
                </c:pt>
                <c:pt idx="23">
                  <c:v>2.592594794222906E-2</c:v>
                </c:pt>
                <c:pt idx="24">
                  <c:v>2.7521024629216524E-2</c:v>
                </c:pt>
                <c:pt idx="25">
                  <c:v>2.9163715545666311E-2</c:v>
                </c:pt>
                <c:pt idx="26">
                  <c:v>3.0854020691578398E-2</c:v>
                </c:pt>
                <c:pt idx="27">
                  <c:v>3.2591940066952797E-2</c:v>
                </c:pt>
                <c:pt idx="28">
                  <c:v>3.4377473671789505E-2</c:v>
                </c:pt>
                <c:pt idx="29">
                  <c:v>3.6210621506088524E-2</c:v>
                </c:pt>
                <c:pt idx="30">
                  <c:v>3.8091383569849868E-2</c:v>
                </c:pt>
                <c:pt idx="31">
                  <c:v>4.0019759863073517E-2</c:v>
                </c:pt>
                <c:pt idx="32">
                  <c:v>4.1995750385759478E-2</c:v>
                </c:pt>
                <c:pt idx="33">
                  <c:v>4.4019355137907751E-2</c:v>
                </c:pt>
                <c:pt idx="34">
                  <c:v>4.6090574119518356E-2</c:v>
                </c:pt>
                <c:pt idx="35">
                  <c:v>4.8209407330591252E-2</c:v>
                </c:pt>
                <c:pt idx="36">
                  <c:v>5.0375854771126445E-2</c:v>
                </c:pt>
                <c:pt idx="37">
                  <c:v>5.2589916441123978E-2</c:v>
                </c:pt>
                <c:pt idx="38">
                  <c:v>5.4851592340583802E-2</c:v>
                </c:pt>
                <c:pt idx="39">
                  <c:v>5.7160882469505965E-2</c:v>
                </c:pt>
                <c:pt idx="40">
                  <c:v>5.9517786827890419E-2</c:v>
                </c:pt>
                <c:pt idx="41">
                  <c:v>6.1922305415737192E-2</c:v>
                </c:pt>
                <c:pt idx="42">
                  <c:v>6.4374438233046283E-2</c:v>
                </c:pt>
                <c:pt idx="43">
                  <c:v>6.6874185279817672E-2</c:v>
                </c:pt>
                <c:pt idx="44">
                  <c:v>6.9421546556051386E-2</c:v>
                </c:pt>
                <c:pt idx="45">
                  <c:v>7.2016522061747398E-2</c:v>
                </c:pt>
                <c:pt idx="46">
                  <c:v>7.4659111796905722E-2</c:v>
                </c:pt>
                <c:pt idx="47">
                  <c:v>7.7349315761526385E-2</c:v>
                </c:pt>
                <c:pt idx="48">
                  <c:v>8.0087133955609346E-2</c:v>
                </c:pt>
                <c:pt idx="49">
                  <c:v>8.2872566379154619E-2</c:v>
                </c:pt>
                <c:pt idx="50">
                  <c:v>8.5705613032162203E-2</c:v>
                </c:pt>
                <c:pt idx="51">
                  <c:v>8.8586273914632085E-2</c:v>
                </c:pt>
                <c:pt idx="52">
                  <c:v>9.1514549026564321E-2</c:v>
                </c:pt>
                <c:pt idx="53">
                  <c:v>9.4490438367958798E-2</c:v>
                </c:pt>
                <c:pt idx="54">
                  <c:v>9.7513941938815671E-2</c:v>
                </c:pt>
                <c:pt idx="55">
                  <c:v>0.10058505973913479</c:v>
                </c:pt>
                <c:pt idx="56">
                  <c:v>0.10370379176891624</c:v>
                </c:pt>
                <c:pt idx="57">
                  <c:v>0.10687013802816003</c:v>
                </c:pt>
                <c:pt idx="58">
                  <c:v>0.1100840985168661</c:v>
                </c:pt>
                <c:pt idx="59">
                  <c:v>0.11334567323503453</c:v>
                </c:pt>
                <c:pt idx="60">
                  <c:v>0.11665486218266524</c:v>
                </c:pt>
                <c:pt idx="61">
                  <c:v>0.12001166535975823</c:v>
                </c:pt>
                <c:pt idx="62">
                  <c:v>0.12341608276631359</c:v>
                </c:pt>
                <c:pt idx="63">
                  <c:v>0.1268681144023312</c:v>
                </c:pt>
                <c:pt idx="64">
                  <c:v>0.13036776026781119</c:v>
                </c:pt>
                <c:pt idx="65">
                  <c:v>0.13391502036275343</c:v>
                </c:pt>
                <c:pt idx="66">
                  <c:v>0.13750989468715802</c:v>
                </c:pt>
                <c:pt idx="67">
                  <c:v>0.14115238324102494</c:v>
                </c:pt>
                <c:pt idx="68">
                  <c:v>0.14484248602435451</c:v>
                </c:pt>
                <c:pt idx="69">
                  <c:v>0.14858020303714564</c:v>
                </c:pt>
                <c:pt idx="70">
                  <c:v>0.15236553427939947</c:v>
                </c:pt>
                <c:pt idx="71">
                  <c:v>0.15619847975111603</c:v>
                </c:pt>
                <c:pt idx="72">
                  <c:v>0.16007903945229446</c:v>
                </c:pt>
                <c:pt idx="73">
                  <c:v>0.16400721338293522</c:v>
                </c:pt>
                <c:pt idx="74">
                  <c:v>0.16798300154303791</c:v>
                </c:pt>
                <c:pt idx="75">
                  <c:v>0.17200640393260375</c:v>
                </c:pt>
                <c:pt idx="76">
                  <c:v>0.17607742055163145</c:v>
                </c:pt>
                <c:pt idx="77">
                  <c:v>0.18019605140012143</c:v>
                </c:pt>
                <c:pt idx="78">
                  <c:v>0.18436229647807373</c:v>
                </c:pt>
                <c:pt idx="79">
                  <c:v>0.18857615578548836</c:v>
                </c:pt>
                <c:pt idx="80">
                  <c:v>0.19283762932236545</c:v>
                </c:pt>
                <c:pt idx="81">
                  <c:v>0.19714671708870465</c:v>
                </c:pt>
                <c:pt idx="82">
                  <c:v>0.20150341908450622</c:v>
                </c:pt>
                <c:pt idx="83">
                  <c:v>0.20590773530977013</c:v>
                </c:pt>
                <c:pt idx="84">
                  <c:v>0.21035966576449627</c:v>
                </c:pt>
                <c:pt idx="85">
                  <c:v>0.21485921044868489</c:v>
                </c:pt>
                <c:pt idx="86">
                  <c:v>0.21940636936233568</c:v>
                </c:pt>
                <c:pt idx="87">
                  <c:v>0.22400114250544881</c:v>
                </c:pt>
                <c:pt idx="88">
                  <c:v>0.22864352987802428</c:v>
                </c:pt>
                <c:pt idx="89">
                  <c:v>0.23333353148006206</c:v>
                </c:pt>
                <c:pt idx="90">
                  <c:v>0.23807114731156168</c:v>
                </c:pt>
                <c:pt idx="91">
                  <c:v>0.24285637737252402</c:v>
                </c:pt>
                <c:pt idx="92">
                  <c:v>0.24768922166294877</c:v>
                </c:pt>
                <c:pt idx="93">
                  <c:v>0.25256968018283582</c:v>
                </c:pt>
                <c:pt idx="94">
                  <c:v>0.25749775293218513</c:v>
                </c:pt>
                <c:pt idx="95">
                  <c:v>0.26247343991099675</c:v>
                </c:pt>
                <c:pt idx="96">
                  <c:v>0.26749674111927069</c:v>
                </c:pt>
                <c:pt idx="97">
                  <c:v>0.27256765655700693</c:v>
                </c:pt>
                <c:pt idx="98">
                  <c:v>0.27768618622420554</c:v>
                </c:pt>
                <c:pt idx="99">
                  <c:v>0.28285233012086647</c:v>
                </c:pt>
                <c:pt idx="100">
                  <c:v>0.28806608824698959</c:v>
                </c:pt>
                <c:pt idx="101">
                  <c:v>0.29332746060257514</c:v>
                </c:pt>
                <c:pt idx="102">
                  <c:v>0.29863644718762289</c:v>
                </c:pt>
                <c:pt idx="103">
                  <c:v>0.30399304800213311</c:v>
                </c:pt>
                <c:pt idx="104">
                  <c:v>0.30939726304610554</c:v>
                </c:pt>
                <c:pt idx="105">
                  <c:v>0.31484909231954034</c:v>
                </c:pt>
                <c:pt idx="106">
                  <c:v>0.32034853582243739</c:v>
                </c:pt>
                <c:pt idx="107">
                  <c:v>0.32589559355479675</c:v>
                </c:pt>
                <c:pt idx="108">
                  <c:v>0.33149026551661848</c:v>
                </c:pt>
                <c:pt idx="109">
                  <c:v>0.33713255170790252</c:v>
                </c:pt>
                <c:pt idx="110">
                  <c:v>0.34282245212864881</c:v>
                </c:pt>
                <c:pt idx="111">
                  <c:v>0.34855996677885748</c:v>
                </c:pt>
                <c:pt idx="112">
                  <c:v>0.35434509565852834</c:v>
                </c:pt>
                <c:pt idx="113">
                  <c:v>0.36017783876766174</c:v>
                </c:pt>
                <c:pt idx="114">
                  <c:v>0.36605819610625728</c:v>
                </c:pt>
                <c:pt idx="115">
                  <c:v>0.37198616767431514</c:v>
                </c:pt>
                <c:pt idx="116">
                  <c:v>0.37796175347183519</c:v>
                </c:pt>
                <c:pt idx="117">
                  <c:v>0.38398495349881784</c:v>
                </c:pt>
                <c:pt idx="118">
                  <c:v>0.39005576775526268</c:v>
                </c:pt>
                <c:pt idx="119">
                  <c:v>0.39617419624116973</c:v>
                </c:pt>
                <c:pt idx="120">
                  <c:v>0.40234023895653914</c:v>
                </c:pt>
                <c:pt idx="121">
                  <c:v>0.40855389590137098</c:v>
                </c:pt>
                <c:pt idx="122">
                  <c:v>0.41481516707566496</c:v>
                </c:pt>
                <c:pt idx="123">
                  <c:v>0.42112405247942142</c:v>
                </c:pt>
                <c:pt idx="124">
                  <c:v>0.42748055211264013</c:v>
                </c:pt>
                <c:pt idx="125">
                  <c:v>0.43388466597532122</c:v>
                </c:pt>
                <c:pt idx="126">
                  <c:v>0.44033639406746439</c:v>
                </c:pt>
                <c:pt idx="127">
                  <c:v>0.44683573638907009</c:v>
                </c:pt>
                <c:pt idx="128">
                  <c:v>0.45338269294013811</c:v>
                </c:pt>
                <c:pt idx="129">
                  <c:v>0.45997726372066833</c:v>
                </c:pt>
                <c:pt idx="130">
                  <c:v>0.46661944873066097</c:v>
                </c:pt>
                <c:pt idx="131">
                  <c:v>0.47330924797011575</c:v>
                </c:pt>
                <c:pt idx="132">
                  <c:v>0.48004666143903291</c:v>
                </c:pt>
                <c:pt idx="133">
                  <c:v>0.48683168913741248</c:v>
                </c:pt>
                <c:pt idx="134">
                  <c:v>0.49366433106525437</c:v>
                </c:pt>
                <c:pt idx="135">
                  <c:v>0.50054458722255846</c:v>
                </c:pt>
                <c:pt idx="136">
                  <c:v>0.5074724576093248</c:v>
                </c:pt>
                <c:pt idx="137">
                  <c:v>0.51444794222555357</c:v>
                </c:pt>
                <c:pt idx="138">
                  <c:v>0.52147104107124476</c:v>
                </c:pt>
                <c:pt idx="139">
                  <c:v>0.52854175414639815</c:v>
                </c:pt>
                <c:pt idx="140">
                  <c:v>0.53566008145101374</c:v>
                </c:pt>
                <c:pt idx="141">
                  <c:v>0.54282602298509175</c:v>
                </c:pt>
                <c:pt idx="142">
                  <c:v>0.55003957874863207</c:v>
                </c:pt>
                <c:pt idx="143">
                  <c:v>0.55730074874163482</c:v>
                </c:pt>
                <c:pt idx="144">
                  <c:v>0.56460953296409977</c:v>
                </c:pt>
                <c:pt idx="145">
                  <c:v>0.57196593141602692</c:v>
                </c:pt>
                <c:pt idx="146">
                  <c:v>0.57936994409741638</c:v>
                </c:pt>
                <c:pt idx="147">
                  <c:v>0.58682157100826826</c:v>
                </c:pt>
                <c:pt idx="148">
                  <c:v>0.59432081214858257</c:v>
                </c:pt>
                <c:pt idx="149">
                  <c:v>0.60186766751835918</c:v>
                </c:pt>
                <c:pt idx="150">
                  <c:v>0.60946213711759789</c:v>
                </c:pt>
                <c:pt idx="151">
                  <c:v>0.61710422094629902</c:v>
                </c:pt>
                <c:pt idx="152">
                  <c:v>0.62479391900446246</c:v>
                </c:pt>
                <c:pt idx="153">
                  <c:v>0.63253123129208821</c:v>
                </c:pt>
                <c:pt idx="154">
                  <c:v>0.64031615780917628</c:v>
                </c:pt>
                <c:pt idx="155">
                  <c:v>0.64814869855572665</c:v>
                </c:pt>
                <c:pt idx="156">
                  <c:v>0.65602885353173945</c:v>
                </c:pt>
                <c:pt idx="157">
                  <c:v>0.66395662273721434</c:v>
                </c:pt>
                <c:pt idx="158">
                  <c:v>0.67193200617215165</c:v>
                </c:pt>
                <c:pt idx="159">
                  <c:v>0.67995500383655116</c:v>
                </c:pt>
                <c:pt idx="160">
                  <c:v>0.68802561573041321</c:v>
                </c:pt>
                <c:pt idx="161">
                  <c:v>0.69614384185373746</c:v>
                </c:pt>
                <c:pt idx="162">
                  <c:v>0.70430968220652401</c:v>
                </c:pt>
                <c:pt idx="163">
                  <c:v>0.71252313678877288</c:v>
                </c:pt>
                <c:pt idx="164">
                  <c:v>0.72078420560048406</c:v>
                </c:pt>
                <c:pt idx="165">
                  <c:v>0.72909288864165767</c:v>
                </c:pt>
                <c:pt idx="166">
                  <c:v>0.73744918591229369</c:v>
                </c:pt>
                <c:pt idx="167">
                  <c:v>0.74585309741239159</c:v>
                </c:pt>
                <c:pt idx="168">
                  <c:v>0.75430462314195212</c:v>
                </c:pt>
                <c:pt idx="169">
                  <c:v>0.76280376310097475</c:v>
                </c:pt>
                <c:pt idx="170">
                  <c:v>0.77135051728946002</c:v>
                </c:pt>
                <c:pt idx="171">
                  <c:v>0.77994488570740739</c:v>
                </c:pt>
                <c:pt idx="172">
                  <c:v>0.78858686835481673</c:v>
                </c:pt>
                <c:pt idx="173">
                  <c:v>0.79727646523168882</c:v>
                </c:pt>
                <c:pt idx="174">
                  <c:v>0.80601367633802312</c:v>
                </c:pt>
                <c:pt idx="175">
                  <c:v>0.81479850167381984</c:v>
                </c:pt>
                <c:pt idx="176">
                  <c:v>0.82363094123907887</c:v>
                </c:pt>
                <c:pt idx="177">
                  <c:v>0.83251099503379999</c:v>
                </c:pt>
                <c:pt idx="178">
                  <c:v>0.84143866305798365</c:v>
                </c:pt>
                <c:pt idx="179">
                  <c:v>0.85041394531162928</c:v>
                </c:pt>
                <c:pt idx="180">
                  <c:v>0.85943684179473756</c:v>
                </c:pt>
                <c:pt idx="181">
                  <c:v>0.86850735250730826</c:v>
                </c:pt>
                <c:pt idx="182">
                  <c:v>0.87762547744934083</c:v>
                </c:pt>
                <c:pt idx="183">
                  <c:v>0.88679121662083604</c:v>
                </c:pt>
                <c:pt idx="184">
                  <c:v>0.89600457002179335</c:v>
                </c:pt>
                <c:pt idx="185">
                  <c:v>0.90526553765221329</c:v>
                </c:pt>
                <c:pt idx="186">
                  <c:v>0.91457411951209544</c:v>
                </c:pt>
                <c:pt idx="187">
                  <c:v>0.92393031560143968</c:v>
                </c:pt>
                <c:pt idx="188">
                  <c:v>0.93333412592024645</c:v>
                </c:pt>
                <c:pt idx="189">
                  <c:v>0.94278555046851509</c:v>
                </c:pt>
                <c:pt idx="190">
                  <c:v>0.9522845892462467</c:v>
                </c:pt>
                <c:pt idx="191">
                  <c:v>0.96183124225344052</c:v>
                </c:pt>
                <c:pt idx="192">
                  <c:v>0.9714255094900961</c:v>
                </c:pt>
                <c:pt idx="193">
                  <c:v>0.98106739095621454</c:v>
                </c:pt>
                <c:pt idx="194">
                  <c:v>0.99075688665179507</c:v>
                </c:pt>
              </c:numCache>
            </c:numRef>
          </c:xVal>
          <c:yVal>
            <c:numRef>
              <c:f>'ВНИИГАЗ ГС'!$N$6:$N$200</c:f>
              <c:numCache>
                <c:formatCode>General</c:formatCode>
                <c:ptCount val="195"/>
                <c:pt idx="0">
                  <c:v>2.8594119141622298E-2</c:v>
                </c:pt>
                <c:pt idx="1">
                  <c:v>2.8222720338490992E-2</c:v>
                </c:pt>
                <c:pt idx="2">
                  <c:v>2.7867037383803469E-2</c:v>
                </c:pt>
                <c:pt idx="3">
                  <c:v>2.7525413760658177E-2</c:v>
                </c:pt>
                <c:pt idx="4">
                  <c:v>2.7196480434934001E-2</c:v>
                </c:pt>
                <c:pt idx="5">
                  <c:v>2.6879088855421087E-2</c:v>
                </c:pt>
                <c:pt idx="6">
                  <c:v>2.6572263014352129E-2</c:v>
                </c:pt>
                <c:pt idx="7">
                  <c:v>2.6275164289810027E-2</c:v>
                </c:pt>
                <c:pt idx="8">
                  <c:v>2.5987065108306437E-2</c:v>
                </c:pt>
                <c:pt idx="9">
                  <c:v>2.5707328846173778E-2</c:v>
                </c:pt>
                <c:pt idx="10">
                  <c:v>2.5435394240311129E-2</c:v>
                </c:pt>
                <c:pt idx="11">
                  <c:v>2.5170763120951008E-2</c:v>
                </c:pt>
                <c:pt idx="12">
                  <c:v>2.4912990633527601E-2</c:v>
                </c:pt>
                <c:pt idx="13">
                  <c:v>2.4661677354017659E-2</c:v>
                </c:pt>
                <c:pt idx="14">
                  <c:v>2.4416462864417527E-2</c:v>
                </c:pt>
                <c:pt idx="15">
                  <c:v>2.4177020468159467E-2</c:v>
                </c:pt>
                <c:pt idx="16">
                  <c:v>2.3943052805518464E-2</c:v>
                </c:pt>
                <c:pt idx="17">
                  <c:v>2.3714288186878166E-2</c:v>
                </c:pt>
                <c:pt idx="18">
                  <c:v>2.3490477503981168E-2</c:v>
                </c:pt>
                <c:pt idx="19">
                  <c:v>2.3271391610579294E-2</c:v>
                </c:pt>
                <c:pt idx="20">
                  <c:v>2.3056819087350692E-2</c:v>
                </c:pt>
                <c:pt idx="21">
                  <c:v>2.2846564323722347E-2</c:v>
                </c:pt>
                <c:pt idx="22">
                  <c:v>2.2640445862843653E-2</c:v>
                </c:pt>
                <c:pt idx="23">
                  <c:v>2.2438294966474898E-2</c:v>
                </c:pt>
                <c:pt idx="24">
                  <c:v>2.2239954364757564E-2</c:v>
                </c:pt>
                <c:pt idx="25">
                  <c:v>2.204527716228382E-2</c:v>
                </c:pt>
                <c:pt idx="26">
                  <c:v>2.185412587699501E-2</c:v>
                </c:pt>
                <c:pt idx="27">
                  <c:v>2.1666371592519128E-2</c:v>
                </c:pt>
                <c:pt idx="28">
                  <c:v>2.1481893207837936E-2</c:v>
                </c:pt>
                <c:pt idx="29">
                  <c:v>2.1300576770826789E-2</c:v>
                </c:pt>
                <c:pt idx="30">
                  <c:v>2.1122314884369886E-2</c:v>
                </c:pt>
                <c:pt idx="31">
                  <c:v>2.0947006175520679E-2</c:v>
                </c:pt>
                <c:pt idx="32">
                  <c:v>2.0774554819631582E-2</c:v>
                </c:pt>
                <c:pt idx="33">
                  <c:v>2.060487011258004E-2</c:v>
                </c:pt>
                <c:pt idx="34">
                  <c:v>2.0437866085217925E-2</c:v>
                </c:pt>
                <c:pt idx="35">
                  <c:v>2.0273461155006053E-2</c:v>
                </c:pt>
                <c:pt idx="36">
                  <c:v>2.0111577810495985E-2</c:v>
                </c:pt>
                <c:pt idx="37">
                  <c:v>1.9952142324910955E-2</c:v>
                </c:pt>
                <c:pt idx="38">
                  <c:v>1.9795084495576497E-2</c:v>
                </c:pt>
                <c:pt idx="39">
                  <c:v>1.9640337406374636E-2</c:v>
                </c:pt>
                <c:pt idx="40">
                  <c:v>1.9487837210756215E-2</c:v>
                </c:pt>
                <c:pt idx="41">
                  <c:v>1.9337522933153987E-2</c:v>
                </c:pt>
                <c:pt idx="42">
                  <c:v>1.9189336286903856E-2</c:v>
                </c:pt>
                <c:pt idx="43">
                  <c:v>1.904322150700884E-2</c:v>
                </c:pt>
                <c:pt idx="44">
                  <c:v>1.8899125196276997E-2</c:v>
                </c:pt>
                <c:pt idx="45">
                  <c:v>1.8756996183534436E-2</c:v>
                </c:pt>
                <c:pt idx="46">
                  <c:v>1.8616785392762032E-2</c:v>
                </c:pt>
                <c:pt idx="47">
                  <c:v>1.8478445722133176E-2</c:v>
                </c:pt>
                <c:pt idx="48">
                  <c:v>1.8341931932041779E-2</c:v>
                </c:pt>
                <c:pt idx="49">
                  <c:v>1.8207200541307953E-2</c:v>
                </c:pt>
                <c:pt idx="50">
                  <c:v>1.8074209730834859E-2</c:v>
                </c:pt>
                <c:pt idx="51">
                  <c:v>1.7942919254065801E-2</c:v>
                </c:pt>
                <c:pt idx="52">
                  <c:v>1.7813290353657335E-2</c:v>
                </c:pt>
                <c:pt idx="53">
                  <c:v>1.768528568384297E-2</c:v>
                </c:pt>
                <c:pt idx="54">
                  <c:v>1.7558869238014228E-2</c:v>
                </c:pt>
                <c:pt idx="55">
                  <c:v>1.7434006281091891E-2</c:v>
                </c:pt>
                <c:pt idx="56">
                  <c:v>1.7310663286301362E-2</c:v>
                </c:pt>
                <c:pt idx="57">
                  <c:v>1.7188807876002594E-2</c:v>
                </c:pt>
                <c:pt idx="58">
                  <c:v>1.706840876625763E-2</c:v>
                </c:pt>
                <c:pt idx="59">
                  <c:v>1.6949435714847801E-2</c:v>
                </c:pt>
                <c:pt idx="60">
                  <c:v>1.6831859472478842E-2</c:v>
                </c:pt>
                <c:pt idx="61">
                  <c:v>1.6715651736935389E-2</c:v>
                </c:pt>
                <c:pt idx="62">
                  <c:v>1.660078510996732E-2</c:v>
                </c:pt>
                <c:pt idx="63">
                  <c:v>1.6487233056709381E-2</c:v>
                </c:pt>
                <c:pt idx="64">
                  <c:v>1.6374969867452266E-2</c:v>
                </c:pt>
                <c:pt idx="65">
                  <c:v>1.6263970621598976E-2</c:v>
                </c:pt>
                <c:pt idx="66">
                  <c:v>1.6154211153653762E-2</c:v>
                </c:pt>
                <c:pt idx="67">
                  <c:v>1.6045668021103819E-2</c:v>
                </c:pt>
                <c:pt idx="68">
                  <c:v>1.593831847406494E-2</c:v>
                </c:pt>
                <c:pt idx="69">
                  <c:v>1.4858020303714565E-3</c:v>
                </c:pt>
                <c:pt idx="70">
                  <c:v>1.5236553427939949E-3</c:v>
                </c:pt>
                <c:pt idx="71">
                  <c:v>1.5619847975111604E-3</c:v>
                </c:pt>
                <c:pt idx="72">
                  <c:v>1.6007903945229446E-3</c:v>
                </c:pt>
                <c:pt idx="73">
                  <c:v>1.6400721338293523E-3</c:v>
                </c:pt>
                <c:pt idx="74">
                  <c:v>1.6798300154303792E-3</c:v>
                </c:pt>
                <c:pt idx="75">
                  <c:v>1.7200640393260375E-3</c:v>
                </c:pt>
                <c:pt idx="76">
                  <c:v>1.7607742055163146E-3</c:v>
                </c:pt>
                <c:pt idx="77">
                  <c:v>1.8019605140012144E-3</c:v>
                </c:pt>
                <c:pt idx="78">
                  <c:v>1.8436229647807373E-3</c:v>
                </c:pt>
                <c:pt idx="79">
                  <c:v>1.8857615578548837E-3</c:v>
                </c:pt>
                <c:pt idx="80">
                  <c:v>1.9283762932236547E-3</c:v>
                </c:pt>
                <c:pt idx="81">
                  <c:v>1.9714671708870465E-3</c:v>
                </c:pt>
                <c:pt idx="82">
                  <c:v>2.0150341908450622E-3</c:v>
                </c:pt>
                <c:pt idx="83">
                  <c:v>2.0590773530977016E-3</c:v>
                </c:pt>
                <c:pt idx="84">
                  <c:v>2.1035966576449629E-3</c:v>
                </c:pt>
                <c:pt idx="85">
                  <c:v>2.1485921044868488E-3</c:v>
                </c:pt>
                <c:pt idx="86">
                  <c:v>2.1940636936233567E-3</c:v>
                </c:pt>
                <c:pt idx="87">
                  <c:v>2.2400114250544882E-3</c:v>
                </c:pt>
                <c:pt idx="88">
                  <c:v>2.286435298780243E-3</c:v>
                </c:pt>
                <c:pt idx="89">
                  <c:v>2.3333353148006207E-3</c:v>
                </c:pt>
                <c:pt idx="90">
                  <c:v>2.3807114731156168E-3</c:v>
                </c:pt>
                <c:pt idx="91">
                  <c:v>2.4285637737252405E-3</c:v>
                </c:pt>
                <c:pt idx="92">
                  <c:v>2.4768922166294879E-3</c:v>
                </c:pt>
                <c:pt idx="93">
                  <c:v>2.5256968018283581E-3</c:v>
                </c:pt>
                <c:pt idx="94">
                  <c:v>2.5749775293218515E-3</c:v>
                </c:pt>
                <c:pt idx="95">
                  <c:v>2.6247343991099674E-3</c:v>
                </c:pt>
                <c:pt idx="96">
                  <c:v>2.6749674111927069E-3</c:v>
                </c:pt>
                <c:pt idx="97">
                  <c:v>2.7256765655700693E-3</c:v>
                </c:pt>
                <c:pt idx="98">
                  <c:v>2.7768618622420554E-3</c:v>
                </c:pt>
                <c:pt idx="99">
                  <c:v>2.8285233012086647E-3</c:v>
                </c:pt>
                <c:pt idx="100">
                  <c:v>2.8806608824698959E-3</c:v>
                </c:pt>
                <c:pt idx="101">
                  <c:v>2.9332746060257513E-3</c:v>
                </c:pt>
                <c:pt idx="102">
                  <c:v>2.9863644718762291E-3</c:v>
                </c:pt>
                <c:pt idx="103">
                  <c:v>3.0399304800213314E-3</c:v>
                </c:pt>
                <c:pt idx="104">
                  <c:v>3.0939726304610553E-3</c:v>
                </c:pt>
                <c:pt idx="105">
                  <c:v>3.1484909231954033E-3</c:v>
                </c:pt>
                <c:pt idx="106">
                  <c:v>3.203485358224374E-3</c:v>
                </c:pt>
                <c:pt idx="107">
                  <c:v>3.2589559355479677E-3</c:v>
                </c:pt>
                <c:pt idx="108">
                  <c:v>3.314902655166185E-3</c:v>
                </c:pt>
                <c:pt idx="109">
                  <c:v>3.3713255170790251E-3</c:v>
                </c:pt>
                <c:pt idx="110">
                  <c:v>3.428224521286488E-3</c:v>
                </c:pt>
                <c:pt idx="111">
                  <c:v>3.4855996677885747E-3</c:v>
                </c:pt>
                <c:pt idx="112">
                  <c:v>3.5434509565852833E-3</c:v>
                </c:pt>
                <c:pt idx="113">
                  <c:v>3.6017783876766173E-3</c:v>
                </c:pt>
                <c:pt idx="114">
                  <c:v>3.6605819610625728E-3</c:v>
                </c:pt>
                <c:pt idx="115">
                  <c:v>3.7198616767431516E-3</c:v>
                </c:pt>
                <c:pt idx="116">
                  <c:v>3.7796175347183519E-3</c:v>
                </c:pt>
                <c:pt idx="117">
                  <c:v>3.8398495349881785E-3</c:v>
                </c:pt>
                <c:pt idx="118">
                  <c:v>3.9005576775526271E-3</c:v>
                </c:pt>
                <c:pt idx="119">
                  <c:v>3.9617419624116976E-3</c:v>
                </c:pt>
                <c:pt idx="120">
                  <c:v>4.0234023895653918E-3</c:v>
                </c:pt>
                <c:pt idx="121">
                  <c:v>4.0855389590137101E-3</c:v>
                </c:pt>
                <c:pt idx="122">
                  <c:v>4.14815167075665E-3</c:v>
                </c:pt>
                <c:pt idx="123">
                  <c:v>4.2112405247942139E-3</c:v>
                </c:pt>
                <c:pt idx="124">
                  <c:v>4.2748055211264012E-3</c:v>
                </c:pt>
                <c:pt idx="125">
                  <c:v>4.3388466597532125E-3</c:v>
                </c:pt>
                <c:pt idx="126">
                  <c:v>4.4033639406746436E-3</c:v>
                </c:pt>
                <c:pt idx="127">
                  <c:v>4.4683573638907006E-3</c:v>
                </c:pt>
                <c:pt idx="128">
                  <c:v>4.5338269294013809E-3</c:v>
                </c:pt>
                <c:pt idx="129">
                  <c:v>4.5997726372066835E-3</c:v>
                </c:pt>
                <c:pt idx="130">
                  <c:v>4.6661944873066094E-3</c:v>
                </c:pt>
                <c:pt idx="131">
                  <c:v>4.7330924797011576E-3</c:v>
                </c:pt>
                <c:pt idx="132">
                  <c:v>4.8004666143903292E-3</c:v>
                </c:pt>
                <c:pt idx="133">
                  <c:v>4.8683168913741248E-3</c:v>
                </c:pt>
                <c:pt idx="134">
                  <c:v>4.9366433106525437E-3</c:v>
                </c:pt>
                <c:pt idx="135">
                  <c:v>5.005445872225585E-3</c:v>
                </c:pt>
                <c:pt idx="136">
                  <c:v>5.0747245760932478E-3</c:v>
                </c:pt>
                <c:pt idx="137">
                  <c:v>5.1444794222555356E-3</c:v>
                </c:pt>
                <c:pt idx="138">
                  <c:v>5.2147104107124476E-3</c:v>
                </c:pt>
                <c:pt idx="139">
                  <c:v>5.2854175414639819E-3</c:v>
                </c:pt>
                <c:pt idx="140">
                  <c:v>5.3566008145101377E-3</c:v>
                </c:pt>
                <c:pt idx="141">
                  <c:v>5.4282602298509177E-3</c:v>
                </c:pt>
                <c:pt idx="142">
                  <c:v>5.5003957874863209E-3</c:v>
                </c:pt>
                <c:pt idx="143">
                  <c:v>5.5730074874163482E-3</c:v>
                </c:pt>
                <c:pt idx="144">
                  <c:v>5.6460953296409979E-3</c:v>
                </c:pt>
                <c:pt idx="145">
                  <c:v>5.7196593141602692E-3</c:v>
                </c:pt>
                <c:pt idx="146">
                  <c:v>5.7936994409741637E-3</c:v>
                </c:pt>
                <c:pt idx="147">
                  <c:v>5.8682157100826832E-3</c:v>
                </c:pt>
                <c:pt idx="148">
                  <c:v>5.9432081214858259E-3</c:v>
                </c:pt>
                <c:pt idx="149">
                  <c:v>6.0186766751835919E-3</c:v>
                </c:pt>
                <c:pt idx="150">
                  <c:v>6.0946213711759794E-3</c:v>
                </c:pt>
                <c:pt idx="151">
                  <c:v>6.1710422094629902E-3</c:v>
                </c:pt>
                <c:pt idx="152">
                  <c:v>6.2479391900446251E-3</c:v>
                </c:pt>
                <c:pt idx="153">
                  <c:v>6.3253123129208824E-3</c:v>
                </c:pt>
                <c:pt idx="154">
                  <c:v>6.4031615780917629E-3</c:v>
                </c:pt>
                <c:pt idx="155">
                  <c:v>6.4814869855572667E-3</c:v>
                </c:pt>
                <c:pt idx="156">
                  <c:v>6.5602885353173946E-3</c:v>
                </c:pt>
                <c:pt idx="157">
                  <c:v>6.6395662273721432E-3</c:v>
                </c:pt>
                <c:pt idx="158">
                  <c:v>6.7193200617215168E-3</c:v>
                </c:pt>
                <c:pt idx="159">
                  <c:v>6.7995500383655118E-3</c:v>
                </c:pt>
                <c:pt idx="160">
                  <c:v>6.8802561573041319E-3</c:v>
                </c:pt>
                <c:pt idx="161">
                  <c:v>6.9614384185373744E-3</c:v>
                </c:pt>
                <c:pt idx="162">
                  <c:v>7.0430968220652401E-3</c:v>
                </c:pt>
                <c:pt idx="163">
                  <c:v>7.1252313678877291E-3</c:v>
                </c:pt>
                <c:pt idx="164">
                  <c:v>7.2078420560048404E-3</c:v>
                </c:pt>
                <c:pt idx="165">
                  <c:v>7.2909288864165768E-3</c:v>
                </c:pt>
                <c:pt idx="166">
                  <c:v>7.3744918591229372E-3</c:v>
                </c:pt>
                <c:pt idx="167">
                  <c:v>7.4585309741239158E-3</c:v>
                </c:pt>
                <c:pt idx="168">
                  <c:v>7.543046231419521E-3</c:v>
                </c:pt>
                <c:pt idx="169">
                  <c:v>7.6280376310097478E-3</c:v>
                </c:pt>
                <c:pt idx="170">
                  <c:v>7.7135051728946004E-3</c:v>
                </c:pt>
                <c:pt idx="171">
                  <c:v>7.7994488570740737E-3</c:v>
                </c:pt>
                <c:pt idx="172">
                  <c:v>7.8858686835481667E-3</c:v>
                </c:pt>
                <c:pt idx="173">
                  <c:v>7.9727646523168882E-3</c:v>
                </c:pt>
                <c:pt idx="174">
                  <c:v>8.0601367633802313E-3</c:v>
                </c:pt>
                <c:pt idx="175">
                  <c:v>8.1479850167381993E-3</c:v>
                </c:pt>
                <c:pt idx="176">
                  <c:v>8.2363094123907889E-3</c:v>
                </c:pt>
                <c:pt idx="177">
                  <c:v>8.3251099503379999E-3</c:v>
                </c:pt>
                <c:pt idx="178">
                  <c:v>8.414386630579836E-3</c:v>
                </c:pt>
                <c:pt idx="179">
                  <c:v>8.5041394531162936E-3</c:v>
                </c:pt>
                <c:pt idx="180">
                  <c:v>8.5943684179473762E-3</c:v>
                </c:pt>
                <c:pt idx="181">
                  <c:v>8.685073525073082E-3</c:v>
                </c:pt>
                <c:pt idx="182">
                  <c:v>8.7762547744934093E-3</c:v>
                </c:pt>
                <c:pt idx="183">
                  <c:v>8.8679121662083599E-3</c:v>
                </c:pt>
                <c:pt idx="184">
                  <c:v>8.9600457002179338E-3</c:v>
                </c:pt>
                <c:pt idx="185">
                  <c:v>9.0526553765221326E-3</c:v>
                </c:pt>
                <c:pt idx="186">
                  <c:v>9.1457411951209548E-3</c:v>
                </c:pt>
                <c:pt idx="187">
                  <c:v>9.2393031560143966E-3</c:v>
                </c:pt>
                <c:pt idx="188">
                  <c:v>9.3333412592024653E-3</c:v>
                </c:pt>
                <c:pt idx="189">
                  <c:v>9.4278555046851519E-3</c:v>
                </c:pt>
                <c:pt idx="190">
                  <c:v>9.522845892462467E-3</c:v>
                </c:pt>
                <c:pt idx="191">
                  <c:v>9.6183124225344054E-3</c:v>
                </c:pt>
                <c:pt idx="192">
                  <c:v>9.7142550949009619E-3</c:v>
                </c:pt>
                <c:pt idx="193">
                  <c:v>9.810673909562145E-3</c:v>
                </c:pt>
                <c:pt idx="194">
                  <c:v>9.9075688665179514E-3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0-44E6-8476-40F0A2474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67728"/>
        <c:axId val="56968208"/>
      </c:scatterChart>
      <c:valAx>
        <c:axId val="569677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Fr*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68208"/>
        <c:crosses val="autoZero"/>
        <c:crossBetween val="midCat"/>
      </c:valAx>
      <c:valAx>
        <c:axId val="569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</a:p>
            </c:rich>
          </c:tx>
          <c:layout>
            <c:manualLayout>
              <c:xMode val="edge"/>
              <c:yMode val="edge"/>
              <c:x val="9.7222222222222224E-2"/>
              <c:y val="3.58369787109944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6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23381452318463"/>
          <c:y val="0.18055555555555552"/>
          <c:w val="0.82587729658792652"/>
          <c:h val="0.6138735783027121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'ВНИИГАЗ ГС'!$Q$6:$Q$200</c:f>
              <c:numCache>
                <c:formatCode>General</c:formatCode>
                <c:ptCount val="195"/>
                <c:pt idx="0">
                  <c:v>63.389800904078491</c:v>
                </c:pt>
                <c:pt idx="1">
                  <c:v>69.728780994486343</c:v>
                </c:pt>
                <c:pt idx="2">
                  <c:v>76.067761084894201</c:v>
                </c:pt>
                <c:pt idx="3">
                  <c:v>82.406741175302045</c:v>
                </c:pt>
                <c:pt idx="4">
                  <c:v>88.745721265709889</c:v>
                </c:pt>
                <c:pt idx="5">
                  <c:v>95.084701356117719</c:v>
                </c:pt>
                <c:pt idx="6">
                  <c:v>101.42368144652558</c:v>
                </c:pt>
                <c:pt idx="7">
                  <c:v>107.76266153693342</c:v>
                </c:pt>
                <c:pt idx="8">
                  <c:v>114.10164162734131</c:v>
                </c:pt>
                <c:pt idx="9">
                  <c:v>120.44062171774914</c:v>
                </c:pt>
                <c:pt idx="10">
                  <c:v>126.77960180815698</c:v>
                </c:pt>
                <c:pt idx="11">
                  <c:v>133.11858189856483</c:v>
                </c:pt>
                <c:pt idx="12">
                  <c:v>139.45756198897269</c:v>
                </c:pt>
                <c:pt idx="13">
                  <c:v>145.79654207938052</c:v>
                </c:pt>
                <c:pt idx="14">
                  <c:v>152.1355221697884</c:v>
                </c:pt>
                <c:pt idx="15">
                  <c:v>158.47450226019623</c:v>
                </c:pt>
                <c:pt idx="16">
                  <c:v>164.81348235060409</c:v>
                </c:pt>
                <c:pt idx="17">
                  <c:v>171.15246244101195</c:v>
                </c:pt>
                <c:pt idx="18">
                  <c:v>177.49144253141978</c:v>
                </c:pt>
                <c:pt idx="19">
                  <c:v>183.83042262182755</c:v>
                </c:pt>
                <c:pt idx="20">
                  <c:v>190.16940271223544</c:v>
                </c:pt>
                <c:pt idx="21">
                  <c:v>196.50838280264333</c:v>
                </c:pt>
                <c:pt idx="22">
                  <c:v>202.84736289305116</c:v>
                </c:pt>
                <c:pt idx="23">
                  <c:v>209.18634298345901</c:v>
                </c:pt>
                <c:pt idx="24">
                  <c:v>215.52532307386684</c:v>
                </c:pt>
                <c:pt idx="25">
                  <c:v>221.86430316427473</c:v>
                </c:pt>
                <c:pt idx="26">
                  <c:v>228.20328325468262</c:v>
                </c:pt>
                <c:pt idx="27">
                  <c:v>234.54226334509039</c:v>
                </c:pt>
                <c:pt idx="28">
                  <c:v>240.88124343549828</c:v>
                </c:pt>
                <c:pt idx="29">
                  <c:v>247.22022352590611</c:v>
                </c:pt>
                <c:pt idx="30">
                  <c:v>253.55920361631397</c:v>
                </c:pt>
                <c:pt idx="31">
                  <c:v>259.89818370672174</c:v>
                </c:pt>
                <c:pt idx="32">
                  <c:v>266.23716379712965</c:v>
                </c:pt>
                <c:pt idx="33">
                  <c:v>272.57614388753751</c:v>
                </c:pt>
                <c:pt idx="34">
                  <c:v>278.91512397794537</c:v>
                </c:pt>
                <c:pt idx="35">
                  <c:v>285.25410406835323</c:v>
                </c:pt>
                <c:pt idx="36">
                  <c:v>291.59308415876103</c:v>
                </c:pt>
                <c:pt idx="37">
                  <c:v>297.93206424916889</c:v>
                </c:pt>
                <c:pt idx="38">
                  <c:v>304.2710443395768</c:v>
                </c:pt>
                <c:pt idx="39">
                  <c:v>310.61002442998461</c:v>
                </c:pt>
                <c:pt idx="40">
                  <c:v>316.94900452039246</c:v>
                </c:pt>
                <c:pt idx="41">
                  <c:v>323.28798461080027</c:v>
                </c:pt>
                <c:pt idx="42">
                  <c:v>329.62696470120818</c:v>
                </c:pt>
                <c:pt idx="43">
                  <c:v>335.96594479161598</c:v>
                </c:pt>
                <c:pt idx="44">
                  <c:v>342.3049248820239</c:v>
                </c:pt>
                <c:pt idx="45">
                  <c:v>348.64390497243176</c:v>
                </c:pt>
                <c:pt idx="46">
                  <c:v>354.98288506283956</c:v>
                </c:pt>
                <c:pt idx="47">
                  <c:v>361.32186515324753</c:v>
                </c:pt>
                <c:pt idx="48">
                  <c:v>367.6608452436551</c:v>
                </c:pt>
                <c:pt idx="49">
                  <c:v>373.99982533406308</c:v>
                </c:pt>
                <c:pt idx="50">
                  <c:v>380.33880542447088</c:v>
                </c:pt>
                <c:pt idx="51">
                  <c:v>386.67778551487879</c:v>
                </c:pt>
                <c:pt idx="52">
                  <c:v>393.01676560528665</c:v>
                </c:pt>
                <c:pt idx="53">
                  <c:v>399.35574569569445</c:v>
                </c:pt>
                <c:pt idx="54">
                  <c:v>405.69472578610231</c:v>
                </c:pt>
                <c:pt idx="55">
                  <c:v>412.03370587651023</c:v>
                </c:pt>
                <c:pt idx="56">
                  <c:v>418.37268596691803</c:v>
                </c:pt>
                <c:pt idx="57">
                  <c:v>424.71166605732589</c:v>
                </c:pt>
                <c:pt idx="58">
                  <c:v>431.05064614773369</c:v>
                </c:pt>
                <c:pt idx="59">
                  <c:v>437.3896262381416</c:v>
                </c:pt>
                <c:pt idx="60">
                  <c:v>443.72860632854946</c:v>
                </c:pt>
                <c:pt idx="61">
                  <c:v>450.06758641895721</c:v>
                </c:pt>
                <c:pt idx="62">
                  <c:v>456.40656650936523</c:v>
                </c:pt>
                <c:pt idx="63">
                  <c:v>462.74554659977298</c:v>
                </c:pt>
                <c:pt idx="64">
                  <c:v>469.08452669018078</c:v>
                </c:pt>
                <c:pt idx="65">
                  <c:v>475.4235067805887</c:v>
                </c:pt>
                <c:pt idx="66">
                  <c:v>481.76248687099655</c:v>
                </c:pt>
                <c:pt idx="67">
                  <c:v>488.10146696140436</c:v>
                </c:pt>
                <c:pt idx="68">
                  <c:v>494.44044705181295</c:v>
                </c:pt>
                <c:pt idx="69">
                  <c:v>500.77942714222002</c:v>
                </c:pt>
                <c:pt idx="70">
                  <c:v>507.11840723262793</c:v>
                </c:pt>
                <c:pt idx="71">
                  <c:v>513.45738732303653</c:v>
                </c:pt>
                <c:pt idx="72">
                  <c:v>519.79636741344439</c:v>
                </c:pt>
                <c:pt idx="73">
                  <c:v>526.13534750385202</c:v>
                </c:pt>
                <c:pt idx="74">
                  <c:v>532.47432759425931</c:v>
                </c:pt>
                <c:pt idx="75">
                  <c:v>538.81330768466785</c:v>
                </c:pt>
                <c:pt idx="76">
                  <c:v>545.15228777507559</c:v>
                </c:pt>
                <c:pt idx="77">
                  <c:v>551.49126786548345</c:v>
                </c:pt>
                <c:pt idx="78">
                  <c:v>557.83024795589131</c:v>
                </c:pt>
                <c:pt idx="79">
                  <c:v>564.16922804629917</c:v>
                </c:pt>
                <c:pt idx="80">
                  <c:v>570.50820813670703</c:v>
                </c:pt>
                <c:pt idx="81">
                  <c:v>576.847188227115</c:v>
                </c:pt>
                <c:pt idx="82">
                  <c:v>583.18616831752263</c:v>
                </c:pt>
                <c:pt idx="83">
                  <c:v>589.52514840793049</c:v>
                </c:pt>
                <c:pt idx="84">
                  <c:v>595.86412849833846</c:v>
                </c:pt>
                <c:pt idx="85">
                  <c:v>602.20310858874632</c:v>
                </c:pt>
                <c:pt idx="86">
                  <c:v>608.54208867915418</c:v>
                </c:pt>
                <c:pt idx="87">
                  <c:v>614.88106876956203</c:v>
                </c:pt>
                <c:pt idx="88">
                  <c:v>621.22004885996978</c:v>
                </c:pt>
                <c:pt idx="89">
                  <c:v>627.55902895037764</c:v>
                </c:pt>
                <c:pt idx="90">
                  <c:v>633.89800904078493</c:v>
                </c:pt>
                <c:pt idx="91">
                  <c:v>640.2369891311929</c:v>
                </c:pt>
                <c:pt idx="92">
                  <c:v>646.57596922160053</c:v>
                </c:pt>
                <c:pt idx="93">
                  <c:v>652.91494931200862</c:v>
                </c:pt>
                <c:pt idx="94">
                  <c:v>659.25392940241636</c:v>
                </c:pt>
                <c:pt idx="95">
                  <c:v>665.59290949282399</c:v>
                </c:pt>
                <c:pt idx="96">
                  <c:v>671.93188958323196</c:v>
                </c:pt>
                <c:pt idx="97">
                  <c:v>678.27086967363982</c:v>
                </c:pt>
                <c:pt idx="98">
                  <c:v>684.60984976404779</c:v>
                </c:pt>
                <c:pt idx="99">
                  <c:v>690.94882985445554</c:v>
                </c:pt>
                <c:pt idx="100">
                  <c:v>697.28780994486351</c:v>
                </c:pt>
                <c:pt idx="101">
                  <c:v>703.62679003527114</c:v>
                </c:pt>
                <c:pt idx="102">
                  <c:v>709.96577012567911</c:v>
                </c:pt>
                <c:pt idx="103">
                  <c:v>716.30475021608686</c:v>
                </c:pt>
                <c:pt idx="104">
                  <c:v>722.64373030649506</c:v>
                </c:pt>
                <c:pt idx="105">
                  <c:v>728.98271039690258</c:v>
                </c:pt>
                <c:pt idx="106">
                  <c:v>735.32169048731021</c:v>
                </c:pt>
                <c:pt idx="107">
                  <c:v>741.66067057771841</c:v>
                </c:pt>
                <c:pt idx="108">
                  <c:v>747.99965066812615</c:v>
                </c:pt>
                <c:pt idx="109">
                  <c:v>754.33863075853401</c:v>
                </c:pt>
                <c:pt idx="110">
                  <c:v>760.67761084894175</c:v>
                </c:pt>
                <c:pt idx="111">
                  <c:v>767.01659093934984</c:v>
                </c:pt>
                <c:pt idx="112">
                  <c:v>773.35557102975758</c:v>
                </c:pt>
                <c:pt idx="113">
                  <c:v>779.69455112016533</c:v>
                </c:pt>
                <c:pt idx="114">
                  <c:v>786.0335312105733</c:v>
                </c:pt>
                <c:pt idx="115">
                  <c:v>792.37251130098116</c:v>
                </c:pt>
                <c:pt idx="116">
                  <c:v>798.7114913913889</c:v>
                </c:pt>
                <c:pt idx="117">
                  <c:v>805.05047148179688</c:v>
                </c:pt>
                <c:pt idx="118">
                  <c:v>811.38945157220462</c:v>
                </c:pt>
                <c:pt idx="119">
                  <c:v>817.72843166261259</c:v>
                </c:pt>
                <c:pt idx="120">
                  <c:v>824.06741175302045</c:v>
                </c:pt>
                <c:pt idx="121">
                  <c:v>830.4063918434282</c:v>
                </c:pt>
                <c:pt idx="122">
                  <c:v>836.74537193383605</c:v>
                </c:pt>
                <c:pt idx="123">
                  <c:v>843.08435202424403</c:v>
                </c:pt>
                <c:pt idx="124">
                  <c:v>849.42333211465177</c:v>
                </c:pt>
                <c:pt idx="125">
                  <c:v>855.76231220505974</c:v>
                </c:pt>
                <c:pt idx="126">
                  <c:v>862.10129229546737</c:v>
                </c:pt>
                <c:pt idx="127">
                  <c:v>868.44027238587535</c:v>
                </c:pt>
                <c:pt idx="128">
                  <c:v>874.7792524762832</c:v>
                </c:pt>
                <c:pt idx="129">
                  <c:v>881.11823256669106</c:v>
                </c:pt>
                <c:pt idx="130">
                  <c:v>887.45721265709892</c:v>
                </c:pt>
                <c:pt idx="131">
                  <c:v>893.79619274750667</c:v>
                </c:pt>
                <c:pt idx="132">
                  <c:v>900.13517283791441</c:v>
                </c:pt>
                <c:pt idx="133">
                  <c:v>906.47415292832227</c:v>
                </c:pt>
                <c:pt idx="134">
                  <c:v>912.81313301873047</c:v>
                </c:pt>
                <c:pt idx="135">
                  <c:v>919.15211310913799</c:v>
                </c:pt>
                <c:pt idx="136">
                  <c:v>925.49109319954596</c:v>
                </c:pt>
                <c:pt idx="137">
                  <c:v>931.83007328995382</c:v>
                </c:pt>
                <c:pt idx="138">
                  <c:v>938.16905338036156</c:v>
                </c:pt>
                <c:pt idx="139">
                  <c:v>944.50803347076953</c:v>
                </c:pt>
                <c:pt idx="140">
                  <c:v>950.84701356117739</c:v>
                </c:pt>
                <c:pt idx="141">
                  <c:v>957.18599365158514</c:v>
                </c:pt>
                <c:pt idx="142">
                  <c:v>963.52497374199311</c:v>
                </c:pt>
                <c:pt idx="143">
                  <c:v>969.86395383240097</c:v>
                </c:pt>
                <c:pt idx="144">
                  <c:v>976.20293392280871</c:v>
                </c:pt>
                <c:pt idx="145">
                  <c:v>982.54191401321668</c:v>
                </c:pt>
                <c:pt idx="146">
                  <c:v>988.88089410362443</c:v>
                </c:pt>
                <c:pt idx="147">
                  <c:v>995.21987419403206</c:v>
                </c:pt>
                <c:pt idx="148">
                  <c:v>1001.55885428444</c:v>
                </c:pt>
                <c:pt idx="149">
                  <c:v>1007.897834374848</c:v>
                </c:pt>
                <c:pt idx="150">
                  <c:v>1014.2368144652559</c:v>
                </c:pt>
                <c:pt idx="151">
                  <c:v>1020.5757945556638</c:v>
                </c:pt>
                <c:pt idx="152">
                  <c:v>1026.9147746460715</c:v>
                </c:pt>
                <c:pt idx="153">
                  <c:v>1033.2537547364796</c:v>
                </c:pt>
                <c:pt idx="154">
                  <c:v>1039.592734826887</c:v>
                </c:pt>
                <c:pt idx="155">
                  <c:v>1045.931714917295</c:v>
                </c:pt>
                <c:pt idx="156">
                  <c:v>1052.2706950077031</c:v>
                </c:pt>
                <c:pt idx="157">
                  <c:v>1058.6096750981108</c:v>
                </c:pt>
                <c:pt idx="158">
                  <c:v>1064.9486551885186</c:v>
                </c:pt>
                <c:pt idx="159">
                  <c:v>1071.2876352789265</c:v>
                </c:pt>
                <c:pt idx="160">
                  <c:v>1077.6266153693346</c:v>
                </c:pt>
                <c:pt idx="161">
                  <c:v>1083.9655954597422</c:v>
                </c:pt>
                <c:pt idx="162">
                  <c:v>1090.30457555015</c:v>
                </c:pt>
                <c:pt idx="163">
                  <c:v>1096.6435556405581</c:v>
                </c:pt>
                <c:pt idx="164">
                  <c:v>1102.9825357309655</c:v>
                </c:pt>
                <c:pt idx="165">
                  <c:v>1109.3215158213736</c:v>
                </c:pt>
                <c:pt idx="166">
                  <c:v>1115.6604959117815</c:v>
                </c:pt>
                <c:pt idx="167">
                  <c:v>1121.9994760021891</c:v>
                </c:pt>
                <c:pt idx="168">
                  <c:v>1128.3384560925972</c:v>
                </c:pt>
                <c:pt idx="169">
                  <c:v>1134.6774361830051</c:v>
                </c:pt>
                <c:pt idx="170">
                  <c:v>1141.0164162734129</c:v>
                </c:pt>
                <c:pt idx="171">
                  <c:v>1147.355396363821</c:v>
                </c:pt>
                <c:pt idx="172">
                  <c:v>1153.6943764542286</c:v>
                </c:pt>
                <c:pt idx="173">
                  <c:v>1160.0333565446367</c:v>
                </c:pt>
                <c:pt idx="174">
                  <c:v>1166.3723366350441</c:v>
                </c:pt>
                <c:pt idx="175">
                  <c:v>1172.711316725452</c:v>
                </c:pt>
                <c:pt idx="176">
                  <c:v>1179.0502968158601</c:v>
                </c:pt>
                <c:pt idx="177">
                  <c:v>1185.3892769062679</c:v>
                </c:pt>
                <c:pt idx="178">
                  <c:v>1191.7282569966756</c:v>
                </c:pt>
                <c:pt idx="179">
                  <c:v>1198.0672370870834</c:v>
                </c:pt>
                <c:pt idx="180">
                  <c:v>1204.4062171774915</c:v>
                </c:pt>
                <c:pt idx="181">
                  <c:v>1210.7451972678989</c:v>
                </c:pt>
                <c:pt idx="182">
                  <c:v>1217.0841773583072</c:v>
                </c:pt>
                <c:pt idx="183">
                  <c:v>1223.4231574487151</c:v>
                </c:pt>
                <c:pt idx="184">
                  <c:v>1229.7621375391225</c:v>
                </c:pt>
                <c:pt idx="185">
                  <c:v>1236.1011176295308</c:v>
                </c:pt>
                <c:pt idx="186">
                  <c:v>1242.4400977199384</c:v>
                </c:pt>
                <c:pt idx="187">
                  <c:v>1248.7790778103461</c:v>
                </c:pt>
                <c:pt idx="188">
                  <c:v>1255.1180579007541</c:v>
                </c:pt>
                <c:pt idx="189">
                  <c:v>1261.457037991162</c:v>
                </c:pt>
                <c:pt idx="190">
                  <c:v>1267.7960180815699</c:v>
                </c:pt>
                <c:pt idx="191">
                  <c:v>1274.1349981719777</c:v>
                </c:pt>
                <c:pt idx="192">
                  <c:v>1280.4739782623858</c:v>
                </c:pt>
                <c:pt idx="193">
                  <c:v>1286.8129583527932</c:v>
                </c:pt>
                <c:pt idx="194">
                  <c:v>1293.1519384432011</c:v>
                </c:pt>
              </c:numCache>
            </c:numRef>
          </c:xVal>
          <c:yVal>
            <c:numRef>
              <c:f>'ВНИИГАЗ ГС'!$R$6:$R$200</c:f>
              <c:numCache>
                <c:formatCode>General</c:formatCode>
                <c:ptCount val="195"/>
                <c:pt idx="0">
                  <c:v>0.34449114518459489</c:v>
                </c:pt>
                <c:pt idx="1">
                  <c:v>0.34089659490309709</c:v>
                </c:pt>
                <c:pt idx="2">
                  <c:v>0.33745414906289339</c:v>
                </c:pt>
                <c:pt idx="3">
                  <c:v>0.33414777521249345</c:v>
                </c:pt>
                <c:pt idx="4">
                  <c:v>0.33096422327692665</c:v>
                </c:pt>
                <c:pt idx="5">
                  <c:v>0.3278923771054682</c:v>
                </c:pt>
                <c:pt idx="6">
                  <c:v>0.3249227904937545</c:v>
                </c:pt>
                <c:pt idx="7">
                  <c:v>0.32204734691415343</c:v>
                </c:pt>
                <c:pt idx="8">
                  <c:v>0.31925900461137308</c:v>
                </c:pt>
                <c:pt idx="9">
                  <c:v>0.31655160207987226</c:v>
                </c:pt>
                <c:pt idx="10">
                  <c:v>0.31391970718465095</c:v>
                </c:pt>
                <c:pt idx="11">
                  <c:v>0.31135849843392516</c:v>
                </c:pt>
                <c:pt idx="12">
                  <c:v>0.3088636703423478</c:v>
                </c:pt>
                <c:pt idx="13">
                  <c:v>0.30643135712003722</c:v>
                </c:pt>
                <c:pt idx="14">
                  <c:v>0.304058070493403</c:v>
                </c:pt>
                <c:pt idx="15">
                  <c:v>0.30174064855877275</c:v>
                </c:pt>
                <c:pt idx="16">
                  <c:v>0.29947621334649704</c:v>
                </c:pt>
                <c:pt idx="17">
                  <c:v>0.29726213533278978</c:v>
                </c:pt>
                <c:pt idx="18">
                  <c:v>0.295096003545539</c:v>
                </c:pt>
                <c:pt idx="19">
                  <c:v>0.29297560021316349</c:v>
                </c:pt>
                <c:pt idx="20">
                  <c:v>0.29089887913256168</c:v>
                </c:pt>
                <c:pt idx="21">
                  <c:v>0.28886394710420155</c:v>
                </c:pt>
                <c:pt idx="22">
                  <c:v>0.2868690479140944</c:v>
                </c:pt>
                <c:pt idx="23">
                  <c:v>0.28491254844419589</c:v>
                </c:pt>
                <c:pt idx="24">
                  <c:v>0.28299292657216896</c:v>
                </c:pt>
                <c:pt idx="25">
                  <c:v>0.28110876058387474</c:v>
                </c:pt>
                <c:pt idx="26">
                  <c:v>0.27925871987143702</c:v>
                </c:pt>
                <c:pt idx="27">
                  <c:v>0.27744155672921605</c:v>
                </c:pt>
                <c:pt idx="28">
                  <c:v>0.27565609909177829</c:v>
                </c:pt>
                <c:pt idx="29">
                  <c:v>0.27390124408362104</c:v>
                </c:pt>
                <c:pt idx="30">
                  <c:v>0.27217595227131153</c:v>
                </c:pt>
                <c:pt idx="31">
                  <c:v>0.27047924252580341</c:v>
                </c:pt>
                <c:pt idx="32">
                  <c:v>0.26881018741676838</c:v>
                </c:pt>
                <c:pt idx="33">
                  <c:v>0.26716790907242394</c:v>
                </c:pt>
                <c:pt idx="34">
                  <c:v>0.26555157544801661</c:v>
                </c:pt>
                <c:pt idx="35">
                  <c:v>0.26396039695419743</c:v>
                </c:pt>
                <c:pt idx="36">
                  <c:v>0.26239362340330713</c:v>
                </c:pt>
                <c:pt idx="37">
                  <c:v>0.26085054123729434</c:v>
                </c:pt>
                <c:pt idx="38">
                  <c:v>0.25933047100581863</c:v>
                </c:pt>
                <c:pt idx="39">
                  <c:v>0.25783276506718411</c:v>
                </c:pt>
                <c:pt idx="40">
                  <c:v>0.25635680548824369</c:v>
                </c:pt>
                <c:pt idx="41">
                  <c:v>0.25490200212239333</c:v>
                </c:pt>
                <c:pt idx="42">
                  <c:v>0.25346779084733889</c:v>
                </c:pt>
                <c:pt idx="43">
                  <c:v>0.25205363194651736</c:v>
                </c:pt>
                <c:pt idx="44">
                  <c:v>0.25065900861995588</c:v>
                </c:pt>
                <c:pt idx="45">
                  <c:v>0.24928342561199943</c:v>
                </c:pt>
                <c:pt idx="46">
                  <c:v>0.24792640794476214</c:v>
                </c:pt>
                <c:pt idx="47">
                  <c:v>0.24658749974740465</c:v>
                </c:pt>
                <c:pt idx="48">
                  <c:v>0.24526626317242339</c:v>
                </c:pt>
                <c:pt idx="49">
                  <c:v>0.2439622773910862</c:v>
                </c:pt>
                <c:pt idx="50">
                  <c:v>0.24267513766098409</c:v>
                </c:pt>
                <c:pt idx="51">
                  <c:v>0.24140445445939784</c:v>
                </c:pt>
                <c:pt idx="52">
                  <c:v>0.2401498526768262</c:v>
                </c:pt>
                <c:pt idx="53">
                  <c:v>0.23891097086559007</c:v>
                </c:pt>
                <c:pt idx="54">
                  <c:v>0.23768746053893183</c:v>
                </c:pt>
                <c:pt idx="55">
                  <c:v>0.23647898551647695</c:v>
                </c:pt>
                <c:pt idx="56">
                  <c:v>0.23528522131231949</c:v>
                </c:pt>
                <c:pt idx="57">
                  <c:v>0.2341058545623502</c:v>
                </c:pt>
                <c:pt idx="58">
                  <c:v>0.23294058248775806</c:v>
                </c:pt>
                <c:pt idx="59">
                  <c:v>0.23178911239191971</c:v>
                </c:pt>
                <c:pt idx="60">
                  <c:v>0.23065116118814222</c:v>
                </c:pt>
                <c:pt idx="61">
                  <c:v>0.22952645495595153</c:v>
                </c:pt>
                <c:pt idx="62">
                  <c:v>0.22841472852382086</c:v>
                </c:pt>
                <c:pt idx="63">
                  <c:v>0.22731572507641698</c:v>
                </c:pt>
                <c:pt idx="64">
                  <c:v>0.22622919578460518</c:v>
                </c:pt>
                <c:pt idx="65">
                  <c:v>0.22515489945660402</c:v>
                </c:pt>
                <c:pt idx="66">
                  <c:v>0.22409260220881239</c:v>
                </c:pt>
                <c:pt idx="67">
                  <c:v>0.22304207715495505</c:v>
                </c:pt>
                <c:pt idx="68">
                  <c:v>0.2220031041123014</c:v>
                </c:pt>
                <c:pt idx="69">
                  <c:v>8.2125709212181305E-2</c:v>
                </c:pt>
                <c:pt idx="70">
                  <c:v>8.2492069129544723E-2</c:v>
                </c:pt>
                <c:pt idx="71">
                  <c:v>8.2863037347755533E-2</c:v>
                </c:pt>
                <c:pt idx="72">
                  <c:v>8.3238613866813624E-2</c:v>
                </c:pt>
                <c:pt idx="73">
                  <c:v>8.3618798686719051E-2</c:v>
                </c:pt>
                <c:pt idx="74">
                  <c:v>8.40035918074718E-2</c:v>
                </c:pt>
                <c:pt idx="75">
                  <c:v>8.4392993229071941E-2</c:v>
                </c:pt>
                <c:pt idx="76">
                  <c:v>8.4787002951519405E-2</c:v>
                </c:pt>
                <c:pt idx="77">
                  <c:v>8.5185620974814177E-2</c:v>
                </c:pt>
                <c:pt idx="78">
                  <c:v>8.5588847298956314E-2</c:v>
                </c:pt>
                <c:pt idx="79">
                  <c:v>8.5996681923945772E-2</c:v>
                </c:pt>
                <c:pt idx="80">
                  <c:v>8.6409124849782595E-2</c:v>
                </c:pt>
                <c:pt idx="81">
                  <c:v>8.6826176076466741E-2</c:v>
                </c:pt>
                <c:pt idx="82">
                  <c:v>8.7247835603998222E-2</c:v>
                </c:pt>
                <c:pt idx="83">
                  <c:v>8.767410343237704E-2</c:v>
                </c:pt>
                <c:pt idx="84">
                  <c:v>8.8104979561603194E-2</c:v>
                </c:pt>
                <c:pt idx="85">
                  <c:v>8.8540463991676713E-2</c:v>
                </c:pt>
                <c:pt idx="86">
                  <c:v>8.898055672259754E-2</c:v>
                </c:pt>
                <c:pt idx="87">
                  <c:v>8.9425257754365717E-2</c:v>
                </c:pt>
                <c:pt idx="88">
                  <c:v>8.987456708698123E-2</c:v>
                </c:pt>
                <c:pt idx="89">
                  <c:v>9.0328484720444094E-2</c:v>
                </c:pt>
                <c:pt idx="90">
                  <c:v>9.0787010654754238E-2</c:v>
                </c:pt>
                <c:pt idx="91">
                  <c:v>9.1250144889911761E-2</c:v>
                </c:pt>
                <c:pt idx="92">
                  <c:v>9.1717887425916633E-2</c:v>
                </c:pt>
                <c:pt idx="93">
                  <c:v>9.2190238262768856E-2</c:v>
                </c:pt>
                <c:pt idx="94">
                  <c:v>9.2667197400468387E-2</c:v>
                </c:pt>
                <c:pt idx="95">
                  <c:v>9.3148764839015283E-2</c:v>
                </c:pt>
                <c:pt idx="96">
                  <c:v>9.3634940578409501E-2</c:v>
                </c:pt>
                <c:pt idx="97">
                  <c:v>9.4125724618651069E-2</c:v>
                </c:pt>
                <c:pt idx="98">
                  <c:v>9.4621116959739973E-2</c:v>
                </c:pt>
                <c:pt idx="99">
                  <c:v>9.51211176016762E-2</c:v>
                </c:pt>
                <c:pt idx="100">
                  <c:v>9.5625726544459777E-2</c:v>
                </c:pt>
                <c:pt idx="101">
                  <c:v>9.613494378809069E-2</c:v>
                </c:pt>
                <c:pt idx="102">
                  <c:v>9.664876933256894E-2</c:v>
                </c:pt>
                <c:pt idx="103">
                  <c:v>9.716720317789454E-2</c:v>
                </c:pt>
                <c:pt idx="104">
                  <c:v>9.7690245324067476E-2</c:v>
                </c:pt>
                <c:pt idx="105">
                  <c:v>9.8217895771087763E-2</c:v>
                </c:pt>
                <c:pt idx="106">
                  <c:v>9.8750154518955358E-2</c:v>
                </c:pt>
                <c:pt idx="107">
                  <c:v>9.9287021567670303E-2</c:v>
                </c:pt>
                <c:pt idx="108">
                  <c:v>9.9828496917232598E-2</c:v>
                </c:pt>
                <c:pt idx="109">
                  <c:v>0.10037458056764223</c:v>
                </c:pt>
                <c:pt idx="110">
                  <c:v>0.10092527251889918</c:v>
                </c:pt>
                <c:pt idx="111">
                  <c:v>0.1014805727710035</c:v>
                </c:pt>
                <c:pt idx="112">
                  <c:v>0.10204048132395512</c:v>
                </c:pt>
                <c:pt idx="113">
                  <c:v>0.10260499817775412</c:v>
                </c:pt>
                <c:pt idx="114">
                  <c:v>0.10317412333240043</c:v>
                </c:pt>
                <c:pt idx="115">
                  <c:v>0.1037478567878941</c:v>
                </c:pt>
                <c:pt idx="116">
                  <c:v>0.10432619854423508</c:v>
                </c:pt>
                <c:pt idx="117">
                  <c:v>0.10490914860142343</c:v>
                </c:pt>
                <c:pt idx="118">
                  <c:v>0.10549670695945911</c:v>
                </c:pt>
                <c:pt idx="119">
                  <c:v>0.1060888736183421</c:v>
                </c:pt>
                <c:pt idx="120">
                  <c:v>0.10668564857807246</c:v>
                </c:pt>
                <c:pt idx="121">
                  <c:v>0.10728703183865015</c:v>
                </c:pt>
                <c:pt idx="122">
                  <c:v>0.10789302340007517</c:v>
                </c:pt>
                <c:pt idx="123">
                  <c:v>0.10850362326234755</c:v>
                </c:pt>
                <c:pt idx="124">
                  <c:v>0.10911883142546724</c:v>
                </c:pt>
                <c:pt idx="125">
                  <c:v>0.1097386478894343</c:v>
                </c:pt>
                <c:pt idx="126">
                  <c:v>0.11036307265424865</c:v>
                </c:pt>
                <c:pt idx="127">
                  <c:v>0.1109921057199104</c:v>
                </c:pt>
                <c:pt idx="128">
                  <c:v>0.11162574708641947</c:v>
                </c:pt>
                <c:pt idx="129">
                  <c:v>0.11226399675377585</c:v>
                </c:pt>
                <c:pt idx="130">
                  <c:v>0.11290685472197959</c:v>
                </c:pt>
                <c:pt idx="131">
                  <c:v>0.11355432099103066</c:v>
                </c:pt>
                <c:pt idx="132">
                  <c:v>0.11420639556092907</c:v>
                </c:pt>
                <c:pt idx="133">
                  <c:v>0.11486307843167483</c:v>
                </c:pt>
                <c:pt idx="134">
                  <c:v>0.11552436960326794</c:v>
                </c:pt>
                <c:pt idx="135">
                  <c:v>0.11619026907570836</c:v>
                </c:pt>
                <c:pt idx="136">
                  <c:v>0.11686077684899612</c:v>
                </c:pt>
                <c:pt idx="137">
                  <c:v>0.11753589292313121</c:v>
                </c:pt>
                <c:pt idx="138">
                  <c:v>0.11821561729811368</c:v>
                </c:pt>
                <c:pt idx="139">
                  <c:v>0.11889994997394347</c:v>
                </c:pt>
                <c:pt idx="140">
                  <c:v>0.11958889095062059</c:v>
                </c:pt>
                <c:pt idx="141">
                  <c:v>0.12028244022814503</c:v>
                </c:pt>
                <c:pt idx="142">
                  <c:v>0.12098059780651685</c:v>
                </c:pt>
                <c:pt idx="143">
                  <c:v>0.12168336368573598</c:v>
                </c:pt>
                <c:pt idx="144">
                  <c:v>0.12239073786580248</c:v>
                </c:pt>
                <c:pt idx="145">
                  <c:v>0.12310272034671628</c:v>
                </c:pt>
                <c:pt idx="146">
                  <c:v>0.12381931112847742</c:v>
                </c:pt>
                <c:pt idx="147">
                  <c:v>0.12454051021108591</c:v>
                </c:pt>
                <c:pt idx="148">
                  <c:v>0.12526631759454177</c:v>
                </c:pt>
                <c:pt idx="149">
                  <c:v>0.12599673327884495</c:v>
                </c:pt>
                <c:pt idx="150">
                  <c:v>0.12673175726399544</c:v>
                </c:pt>
                <c:pt idx="151">
                  <c:v>0.12747138954999329</c:v>
                </c:pt>
                <c:pt idx="152">
                  <c:v>0.12821563013683848</c:v>
                </c:pt>
                <c:pt idx="153">
                  <c:v>0.12896447902453098</c:v>
                </c:pt>
                <c:pt idx="154">
                  <c:v>0.12971793621307084</c:v>
                </c:pt>
                <c:pt idx="155">
                  <c:v>0.13047600170245807</c:v>
                </c:pt>
                <c:pt idx="156">
                  <c:v>0.13123867549269261</c:v>
                </c:pt>
                <c:pt idx="157">
                  <c:v>0.13200595758377448</c:v>
                </c:pt>
                <c:pt idx="158">
                  <c:v>0.13277784797570369</c:v>
                </c:pt>
                <c:pt idx="159">
                  <c:v>0.13355434666848026</c:v>
                </c:pt>
                <c:pt idx="160">
                  <c:v>0.13433545366210414</c:v>
                </c:pt>
                <c:pt idx="161">
                  <c:v>0.13512116895657536</c:v>
                </c:pt>
                <c:pt idx="162">
                  <c:v>0.13591149255189397</c:v>
                </c:pt>
                <c:pt idx="163">
                  <c:v>0.13670642444805986</c:v>
                </c:pt>
                <c:pt idx="164">
                  <c:v>0.13750596464507311</c:v>
                </c:pt>
                <c:pt idx="165">
                  <c:v>0.1383101131429337</c:v>
                </c:pt>
                <c:pt idx="166">
                  <c:v>0.13911886994164166</c:v>
                </c:pt>
                <c:pt idx="167">
                  <c:v>0.1399322350411969</c:v>
                </c:pt>
                <c:pt idx="168">
                  <c:v>0.14075020844159952</c:v>
                </c:pt>
                <c:pt idx="169">
                  <c:v>0.14157279014284946</c:v>
                </c:pt>
                <c:pt idx="170">
                  <c:v>0.14239998014494676</c:v>
                </c:pt>
                <c:pt idx="171">
                  <c:v>0.14323177844789137</c:v>
                </c:pt>
                <c:pt idx="172">
                  <c:v>0.14406818505168331</c:v>
                </c:pt>
                <c:pt idx="173">
                  <c:v>0.14490919995632259</c:v>
                </c:pt>
                <c:pt idx="174">
                  <c:v>0.14575482316180927</c:v>
                </c:pt>
                <c:pt idx="175">
                  <c:v>0.14660505466814322</c:v>
                </c:pt>
                <c:pt idx="176">
                  <c:v>0.14745989447532454</c:v>
                </c:pt>
                <c:pt idx="177">
                  <c:v>0.14831934258335316</c:v>
                </c:pt>
                <c:pt idx="178">
                  <c:v>0.14918339899222918</c:v>
                </c:pt>
                <c:pt idx="179">
                  <c:v>0.15005206370195251</c:v>
                </c:pt>
                <c:pt idx="180">
                  <c:v>0.15092533671252317</c:v>
                </c:pt>
                <c:pt idx="181">
                  <c:v>0.15180321802394117</c:v>
                </c:pt>
                <c:pt idx="182">
                  <c:v>0.15268570763620651</c:v>
                </c:pt>
                <c:pt idx="183">
                  <c:v>0.15357280554931921</c:v>
                </c:pt>
                <c:pt idx="184">
                  <c:v>0.15446451176327922</c:v>
                </c:pt>
                <c:pt idx="185">
                  <c:v>0.15536082627808659</c:v>
                </c:pt>
                <c:pt idx="186">
                  <c:v>0.1562617490937413</c:v>
                </c:pt>
                <c:pt idx="187">
                  <c:v>0.15716728021024332</c:v>
                </c:pt>
                <c:pt idx="188">
                  <c:v>0.15807741962759272</c:v>
                </c:pt>
                <c:pt idx="189">
                  <c:v>0.15899216734578941</c:v>
                </c:pt>
                <c:pt idx="190">
                  <c:v>0.15991152336483347</c:v>
                </c:pt>
                <c:pt idx="191">
                  <c:v>0.16083548768472489</c:v>
                </c:pt>
                <c:pt idx="192">
                  <c:v>0.16176406030546359</c:v>
                </c:pt>
                <c:pt idx="193">
                  <c:v>0.16269724122704968</c:v>
                </c:pt>
                <c:pt idx="194">
                  <c:v>0.1636350304494831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0-44E6-8476-40F0A2474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67728"/>
        <c:axId val="56968208"/>
      </c:scatterChart>
      <c:valAx>
        <c:axId val="5696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68208"/>
        <c:crosses val="autoZero"/>
        <c:crossBetween val="midCat"/>
      </c:valAx>
      <c:valAx>
        <c:axId val="569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ym typeface="Symbol" panose="05050102010706020507" pitchFamily="18" charset="2"/>
                  </a:rPr>
                  <a:t></a:t>
                </a:r>
                <a:r>
                  <a:rPr lang="en-US"/>
                  <a:t>p</a:t>
                </a:r>
                <a:r>
                  <a:rPr lang="ru-RU"/>
                  <a:t>, ат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333333333333329E-2"/>
              <c:y val="5.435549722951300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6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14</xdr:row>
      <xdr:rowOff>100012</xdr:rowOff>
    </xdr:from>
    <xdr:to>
      <xdr:col>7</xdr:col>
      <xdr:colOff>57150</xdr:colOff>
      <xdr:row>28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9B77325-5D75-45E7-96F8-28A3C0953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161925</xdr:colOff>
      <xdr:row>14</xdr:row>
      <xdr:rowOff>100012</xdr:rowOff>
    </xdr:from>
    <xdr:to>
      <xdr:col>20</xdr:col>
      <xdr:colOff>333375</xdr:colOff>
      <xdr:row>28</xdr:row>
      <xdr:rowOff>176212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FAE6A63-C9E6-DAC2-E84A-43902ED19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3;&#1086;&#1095;&#1080;&#1081;_&#1089;&#1090;&#1086;&#1083;\&#1056;&#1072;&#1073;&#1086;&#1095;&#1080;&#1081;%20&#1089;&#1090;&#1086;&#1083;_2\~MSSETUP.T\Blok1\Work\Excel\Butan2D\Vniigaz2\WellTest\Butan_Test_Baz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069;&#1082;&#1089;&#1087;&#1077;&#1088;&#1080;&#1084;&#1077;&#1085;&#1090;&#1099;\&#1054;&#1087;&#1099;&#1090;&#1099;%202013\&#1054;&#1087;&#1099;&#1090;%20&#8470;67_26_11_2013,%20&#1042;&#1077;&#1088;&#1090;&#1080;&#1082;&#1072;&#1083;&#1100;&#1085;&#1072;&#1103;%20168%20&#1084;&#1084;,%20&#1056;=630%20&#1082;&#1055;&#1072;,%2070%20&#1083;_&#1095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&#1056;&#1072;&#1089;&#1095;&#1077;&#1090;&#1099;%20Excel\&#1051;&#1080;&#1089;&#1090;%20Microsoft%20Excel%20(2).xlsx" TargetMode="External"/><Relationship Id="rId1" Type="http://schemas.openxmlformats.org/officeDocument/2006/relationships/externalLinkPath" Target="/Users/Admin/Desktop/&#1056;&#1072;&#1089;&#1095;&#1077;&#1090;&#1099;%20Excel/&#1051;&#1080;&#1089;&#1090;%20Microsoft%20Exce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hDanGasCorrect"/>
      <sheetName val="IshDanCond"/>
      <sheetName val="Schirina"/>
      <sheetName val="Gas"/>
      <sheetName val="Params"/>
      <sheetName val="File"/>
      <sheetName val="Диаграмма1"/>
      <sheetName val="Диаграмма2"/>
      <sheetName val="Karta_P"/>
      <sheetName val="Itog"/>
      <sheetName val="Protokol"/>
      <sheetName val="Balans1"/>
      <sheetName val="Bala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Лист3"/>
      <sheetName val="Основа"/>
      <sheetName val="Точки"/>
      <sheetName val="Fr от времени"/>
      <sheetName val="i от времени, Уровень"/>
      <sheetName val="Q раб. расход"/>
      <sheetName val="i от Fr"/>
      <sheetName val="i от Fr он-лайн"/>
      <sheetName val="t°C"/>
      <sheetName val="Р, 2-й 6-ой"/>
      <sheetName val="Перепад всех ДД"/>
      <sheetName val="Перепад всех ДД (2)"/>
      <sheetName val="Перепад Р, см в. ст."/>
      <sheetName val="Ср. перепад Р, см в. ст."/>
      <sheetName val="Уровень, л"/>
      <sheetName val="Уровень, л (2)"/>
      <sheetName val="ИД Ур(2)"/>
      <sheetName val="Результат (2)"/>
    </sheetNames>
    <sheetDataSet>
      <sheetData sheetId="0"/>
      <sheetData sheetId="1"/>
      <sheetData sheetId="2">
        <row r="2">
          <cell r="AP2">
            <v>6.2E-2</v>
          </cell>
          <cell r="AQ2">
            <v>2959</v>
          </cell>
        </row>
        <row r="3">
          <cell r="AP3">
            <v>0.1</v>
          </cell>
          <cell r="AQ3">
            <v>2335</v>
          </cell>
        </row>
        <row r="4">
          <cell r="AP4">
            <v>0.10199999999999999</v>
          </cell>
        </row>
        <row r="5">
          <cell r="AP5">
            <v>0.14199999999999999</v>
          </cell>
        </row>
        <row r="6">
          <cell r="AP6">
            <v>0.152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6">
          <cell r="P6">
            <v>6.8810450051750615E-3</v>
          </cell>
          <cell r="S6">
            <v>4.9552411337257317E-2</v>
          </cell>
        </row>
        <row r="7">
          <cell r="P7">
            <v>8.3260644562618263E-3</v>
          </cell>
          <cell r="S7">
            <v>4.7750544617779049E-2</v>
          </cell>
        </row>
        <row r="8">
          <cell r="P8">
            <v>9.9087048074520886E-3</v>
          </cell>
          <cell r="S8">
            <v>4.6065191374023075E-2</v>
          </cell>
        </row>
        <row r="9">
          <cell r="P9">
            <v>1.1628966058745853E-2</v>
          </cell>
          <cell r="S9">
            <v>4.4483157341855886E-2</v>
          </cell>
        </row>
        <row r="10">
          <cell r="P10">
            <v>1.3486848210143117E-2</v>
          </cell>
          <cell r="S10">
            <v>4.2993525414411961E-2</v>
          </cell>
        </row>
        <row r="11">
          <cell r="P11">
            <v>1.5482351261643887E-2</v>
          </cell>
          <cell r="S11">
            <v>4.1587131502556808E-2</v>
          </cell>
        </row>
        <row r="12">
          <cell r="P12">
            <v>1.7615475213248161E-2</v>
          </cell>
          <cell r="S12">
            <v>4.0256187990086602E-2</v>
          </cell>
        </row>
        <row r="13">
          <cell r="P13">
            <v>1.9886220064955929E-2</v>
          </cell>
          <cell r="S13">
            <v>3.8994006544367098E-2</v>
          </cell>
        </row>
        <row r="14">
          <cell r="P14">
            <v>2.2294585816767198E-2</v>
          </cell>
          <cell r="S14">
            <v>3.7794789735921153E-2</v>
          </cell>
        </row>
        <row r="15">
          <cell r="P15">
            <v>2.4840572468681967E-2</v>
          </cell>
          <cell r="S15">
            <v>3.6653471496304824E-2</v>
          </cell>
        </row>
        <row r="16">
          <cell r="P16">
            <v>2.7524180020700246E-2</v>
          </cell>
          <cell r="S16">
            <v>3.5565592991100708E-2</v>
          </cell>
        </row>
        <row r="17">
          <cell r="P17">
            <v>3.0345408472822022E-2</v>
          </cell>
          <cell r="S17">
            <v>3.4527204664069271E-2</v>
          </cell>
        </row>
        <row r="18">
          <cell r="P18">
            <v>3.3304257825047305E-2</v>
          </cell>
          <cell r="S18">
            <v>3.353478794856174E-2</v>
          </cell>
        </row>
        <row r="19">
          <cell r="P19">
            <v>3.6400728077376064E-2</v>
          </cell>
          <cell r="S19">
            <v>3.2585191981971795E-2</v>
          </cell>
        </row>
        <row r="20">
          <cell r="P20">
            <v>3.9634819229808355E-2</v>
          </cell>
          <cell r="S20">
            <v>3.1675581920607834E-2</v>
          </cell>
        </row>
        <row r="21">
          <cell r="P21">
            <v>4.3006531282344128E-2</v>
          </cell>
          <cell r="S21">
            <v>3.0803396334162035E-2</v>
          </cell>
        </row>
        <row r="22">
          <cell r="P22">
            <v>4.6515864234983412E-2</v>
          </cell>
          <cell r="S22">
            <v>2.9966311785958918E-2</v>
          </cell>
        </row>
        <row r="23">
          <cell r="P23">
            <v>5.0162818087726199E-2</v>
          </cell>
          <cell r="S23">
            <v>2.9162213158009577E-2</v>
          </cell>
        </row>
        <row r="24">
          <cell r="P24">
            <v>5.394739284057247E-2</v>
          </cell>
          <cell r="S24">
            <v>2.8389168611637965E-2</v>
          </cell>
        </row>
        <row r="25">
          <cell r="P25">
            <v>5.7869588493522264E-2</v>
          </cell>
          <cell r="S25">
            <v>2.7645408320652924E-2</v>
          </cell>
        </row>
        <row r="26">
          <cell r="P26">
            <v>6.1929405046575549E-2</v>
          </cell>
          <cell r="S26">
            <v>2.6929306298967132E-2</v>
          </cell>
        </row>
        <row r="27">
          <cell r="P27">
            <v>6.6126842499732344E-2</v>
          </cell>
          <cell r="S27">
            <v>2.6239364785003765E-2</v>
          </cell>
        </row>
        <row r="28">
          <cell r="P28">
            <v>7.0461900852992643E-2</v>
          </cell>
          <cell r="S28">
            <v>2.5574200752982258E-2</v>
          </cell>
        </row>
        <row r="29">
          <cell r="P29">
            <v>7.493458010635641E-2</v>
          </cell>
          <cell r="S29">
            <v>2.4932534204629795E-2</v>
          </cell>
        </row>
        <row r="30">
          <cell r="P30">
            <v>7.9544880259823716E-2</v>
          </cell>
          <cell r="S30">
            <v>2.431317796007738E-2</v>
          </cell>
        </row>
        <row r="31">
          <cell r="P31">
            <v>8.4292801313394505E-2</v>
          </cell>
          <cell r="S31">
            <v>2.3715028718075799E-2</v>
          </cell>
        </row>
        <row r="32">
          <cell r="P32">
            <v>8.9178343267068791E-2</v>
          </cell>
          <cell r="S32">
            <v>2.3137059196456113E-2</v>
          </cell>
        </row>
        <row r="33">
          <cell r="P33">
            <v>9.4201506120846587E-2</v>
          </cell>
          <cell r="S33">
            <v>2.2578311196377602E-2</v>
          </cell>
        </row>
        <row r="34">
          <cell r="P34">
            <v>9.9362289874727866E-2</v>
          </cell>
          <cell r="S34">
            <v>2.2037889460166635E-2</v>
          </cell>
        </row>
        <row r="35">
          <cell r="P35">
            <v>0.10466069452871266</v>
          </cell>
          <cell r="S35">
            <v>2.1514956213827423E-2</v>
          </cell>
        </row>
        <row r="36">
          <cell r="P36">
            <v>0.11009672008280098</v>
          </cell>
          <cell r="S36">
            <v>2.100872630264981E-2</v>
          </cell>
        </row>
        <row r="37">
          <cell r="P37">
            <v>0.11567036653699278</v>
          </cell>
          <cell r="S37">
            <v>2.0518462842556404E-2</v>
          </cell>
        </row>
        <row r="38">
          <cell r="P38">
            <v>0.12138163389128809</v>
          </cell>
          <cell r="S38">
            <v>2.004347332154922E-2</v>
          </cell>
        </row>
        <row r="39">
          <cell r="P39">
            <v>0.12723052214568686</v>
          </cell>
          <cell r="S39">
            <v>1.9583106095322163E-2</v>
          </cell>
        </row>
        <row r="40">
          <cell r="P40">
            <v>0.13321703130018922</v>
          </cell>
          <cell r="S40">
            <v>1.9136747229184532E-2</v>
          </cell>
        </row>
        <row r="41">
          <cell r="P41">
            <v>0.13934116135479499</v>
          </cell>
          <cell r="S41">
            <v>1.8703817645196293E-2</v>
          </cell>
        </row>
        <row r="42">
          <cell r="P42">
            <v>0.14560291230950426</v>
          </cell>
          <cell r="S42">
            <v>1.8283770539088785E-2</v>
          </cell>
        </row>
        <row r="43">
          <cell r="P43">
            <v>0.15200228416431713</v>
          </cell>
          <cell r="S43">
            <v>1.7876089036328879E-2</v>
          </cell>
        </row>
        <row r="44">
          <cell r="P44">
            <v>0.15853927691923342</v>
          </cell>
          <cell r="S44">
            <v>1.7480284060734857E-2</v>
          </cell>
        </row>
        <row r="45">
          <cell r="P45">
            <v>0.16521389057425326</v>
          </cell>
          <cell r="S45">
            <v>1.7095892392494316E-2</v>
          </cell>
        </row>
        <row r="46">
          <cell r="P46">
            <v>0.17202612512937651</v>
          </cell>
          <cell r="S46">
            <v>1.6722474895370227E-2</v>
          </cell>
        </row>
        <row r="47">
          <cell r="P47">
            <v>0.17897598058460334</v>
          </cell>
          <cell r="S47">
            <v>1.6359614895393611E-2</v>
          </cell>
        </row>
        <row r="48">
          <cell r="P48">
            <v>0.18606345693993365</v>
          </cell>
          <cell r="S48">
            <v>1.6006916695498665E-2</v>
          </cell>
        </row>
        <row r="49">
          <cell r="P49">
            <v>0.19328855419536747</v>
          </cell>
          <cell r="S49">
            <v>1.5664004212414203E-2</v>
          </cell>
        </row>
        <row r="50">
          <cell r="P50">
            <v>0.2006512723509048</v>
          </cell>
          <cell r="S50">
            <v>1.5330519723731027E-2</v>
          </cell>
        </row>
        <row r="51">
          <cell r="P51">
            <v>0.20815161140654559</v>
          </cell>
          <cell r="S51">
            <v>1.5006122714455524E-2</v>
          </cell>
        </row>
        <row r="52">
          <cell r="P52">
            <v>0.21578957136228988</v>
          </cell>
          <cell r="S52">
            <v>1.469048881356891E-2</v>
          </cell>
        </row>
        <row r="53">
          <cell r="P53">
            <v>0.22356515221813775</v>
          </cell>
          <cell r="S53">
            <v>1.4383308812164304E-2</v>
          </cell>
        </row>
        <row r="54">
          <cell r="P54">
            <v>0.23147835397408906</v>
          </cell>
          <cell r="S54">
            <v>1.4084287755653895E-2</v>
          </cell>
        </row>
        <row r="55">
          <cell r="P55">
            <v>0.23952917663014386</v>
          </cell>
          <cell r="S55">
            <v>1.3793144103343747E-2</v>
          </cell>
        </row>
        <row r="56">
          <cell r="P56">
            <v>0.2477176201863022</v>
          </cell>
          <cell r="S56">
            <v>1.3509608949381059E-2</v>
          </cell>
        </row>
        <row r="57">
          <cell r="P57">
            <v>0.25604368464256394</v>
          </cell>
          <cell r="S57">
            <v>1.3233425299700483E-2</v>
          </cell>
        </row>
        <row r="58">
          <cell r="P58">
            <v>0.26450736999892938</v>
          </cell>
          <cell r="S58">
            <v>1.2964347400144722E-2</v>
          </cell>
        </row>
        <row r="59">
          <cell r="P59">
            <v>0.27310867625539814</v>
          </cell>
          <cell r="S59">
            <v>1.2702140111419267E-2</v>
          </cell>
        </row>
        <row r="60">
          <cell r="P60">
            <v>0.28184760341197057</v>
          </cell>
          <cell r="S60">
            <v>2.8184760341197056E-3</v>
          </cell>
        </row>
        <row r="61">
          <cell r="P61">
            <v>0.29072415146864633</v>
          </cell>
          <cell r="S61">
            <v>2.9072415146864632E-3</v>
          </cell>
        </row>
        <row r="62">
          <cell r="P62">
            <v>0.29973832042542564</v>
          </cell>
          <cell r="S62">
            <v>2.9973832042542565E-3</v>
          </cell>
        </row>
        <row r="63">
          <cell r="P63">
            <v>0.30889011028230851</v>
          </cell>
          <cell r="S63">
            <v>3.0889011028230849E-3</v>
          </cell>
        </row>
        <row r="64">
          <cell r="P64">
            <v>0.31817952103929487</v>
          </cell>
          <cell r="S64">
            <v>3.1817952103929486E-3</v>
          </cell>
        </row>
        <row r="65">
          <cell r="P65">
            <v>0.32760655269638467</v>
          </cell>
          <cell r="S65">
            <v>3.2760655269638466E-3</v>
          </cell>
        </row>
        <row r="66">
          <cell r="P66">
            <v>0.33717120525357802</v>
          </cell>
          <cell r="S66">
            <v>3.3717120525357802E-3</v>
          </cell>
        </row>
        <row r="67">
          <cell r="P67">
            <v>0.34687347871087487</v>
          </cell>
          <cell r="S67">
            <v>3.4687347871087486E-3</v>
          </cell>
        </row>
        <row r="68">
          <cell r="P68">
            <v>0.35671337306827516</v>
          </cell>
          <cell r="S68">
            <v>3.5671337306827518E-3</v>
          </cell>
        </row>
        <row r="69">
          <cell r="P69">
            <v>0.36669088832577895</v>
          </cell>
          <cell r="S69">
            <v>3.6669088832577898E-3</v>
          </cell>
        </row>
        <row r="70">
          <cell r="P70">
            <v>0.37680602448338635</v>
          </cell>
          <cell r="S70">
            <v>3.7680602448338634E-3</v>
          </cell>
        </row>
        <row r="71">
          <cell r="P71">
            <v>0.38705878154109713</v>
          </cell>
          <cell r="S71">
            <v>3.8705878154109714E-3</v>
          </cell>
        </row>
        <row r="72">
          <cell r="P72">
            <v>0.39744915949891146</v>
          </cell>
          <cell r="S72">
            <v>3.9744915949891145E-3</v>
          </cell>
        </row>
        <row r="73">
          <cell r="P73">
            <v>0.40797715835682935</v>
          </cell>
          <cell r="S73">
            <v>4.0797715835682938E-3</v>
          </cell>
        </row>
        <row r="74">
          <cell r="P74">
            <v>0.41864277811485173</v>
          </cell>
          <cell r="S74">
            <v>4.1864277811485178E-3</v>
          </cell>
        </row>
        <row r="75">
          <cell r="P75">
            <v>0.42944601877297556</v>
          </cell>
          <cell r="S75">
            <v>4.2944601877297553E-3</v>
          </cell>
        </row>
        <row r="76">
          <cell r="P76">
            <v>0.44038688033120393</v>
          </cell>
          <cell r="S76">
            <v>4.4038688033120393E-3</v>
          </cell>
        </row>
        <row r="77">
          <cell r="P77">
            <v>0.45146536278953692</v>
          </cell>
          <cell r="S77">
            <v>4.5146536278953689E-3</v>
          </cell>
        </row>
        <row r="78">
          <cell r="P78">
            <v>0.46268146614797229</v>
          </cell>
          <cell r="S78">
            <v>4.6268146614797234E-3</v>
          </cell>
        </row>
        <row r="79">
          <cell r="P79">
            <v>0.47403519040651099</v>
          </cell>
          <cell r="S79">
            <v>4.7403519040651104E-3</v>
          </cell>
        </row>
        <row r="80">
          <cell r="P80">
            <v>0.48552653556515235</v>
          </cell>
          <cell r="S80">
            <v>4.855265355651524E-3</v>
          </cell>
        </row>
        <row r="81">
          <cell r="P81">
            <v>0.49715550162389943</v>
          </cell>
          <cell r="S81">
            <v>4.9715550162389944E-3</v>
          </cell>
        </row>
        <row r="82">
          <cell r="P82">
            <v>0.50892208858274868</v>
          </cell>
          <cell r="S82">
            <v>5.0892208858274871E-3</v>
          </cell>
        </row>
        <row r="83">
          <cell r="P83">
            <v>0.52082629644170153</v>
          </cell>
          <cell r="S83">
            <v>5.2082629644170158E-3</v>
          </cell>
        </row>
        <row r="84">
          <cell r="P84">
            <v>0.53286812520075788</v>
          </cell>
          <cell r="S84">
            <v>5.3286812520075789E-3</v>
          </cell>
        </row>
        <row r="85">
          <cell r="P85">
            <v>0.54504757485991773</v>
          </cell>
          <cell r="S85">
            <v>5.4504757485991772E-3</v>
          </cell>
        </row>
        <row r="86">
          <cell r="P86">
            <v>0.55736464541918129</v>
          </cell>
          <cell r="S86">
            <v>5.5736464541918133E-3</v>
          </cell>
        </row>
        <row r="87">
          <cell r="P87">
            <v>0.56981933687854802</v>
          </cell>
          <cell r="S87">
            <v>5.6981933687854803E-3</v>
          </cell>
        </row>
        <row r="88">
          <cell r="P88">
            <v>0.58241164923801847</v>
          </cell>
          <cell r="S88">
            <v>5.8241164923801851E-3</v>
          </cell>
        </row>
        <row r="89">
          <cell r="P89">
            <v>0.59514158249759219</v>
          </cell>
          <cell r="S89">
            <v>5.9514158249759225E-3</v>
          </cell>
        </row>
        <row r="90">
          <cell r="P90">
            <v>0.60800913665726952</v>
          </cell>
          <cell r="S90">
            <v>6.0800913665726951E-3</v>
          </cell>
        </row>
        <row r="91">
          <cell r="P91">
            <v>0.62101431171705057</v>
          </cell>
          <cell r="S91">
            <v>6.2101431171705055E-3</v>
          </cell>
        </row>
        <row r="92">
          <cell r="P92">
            <v>0.63415710767693489</v>
          </cell>
          <cell r="S92">
            <v>6.3415710767693494E-3</v>
          </cell>
        </row>
        <row r="93">
          <cell r="P93">
            <v>0.6474375245369226</v>
          </cell>
          <cell r="S93">
            <v>6.4743752453692259E-3</v>
          </cell>
        </row>
        <row r="94">
          <cell r="P94">
            <v>0.66085556229701425</v>
          </cell>
          <cell r="S94">
            <v>6.6085556229701428E-3</v>
          </cell>
        </row>
        <row r="95">
          <cell r="P95">
            <v>0.67441122095720896</v>
          </cell>
          <cell r="S95">
            <v>6.7441122095720897E-3</v>
          </cell>
        </row>
        <row r="96">
          <cell r="P96">
            <v>0.68810450051750605</v>
          </cell>
          <cell r="S96">
            <v>6.8810450051750606E-3</v>
          </cell>
        </row>
        <row r="97">
          <cell r="P97">
            <v>0.70193540097790796</v>
          </cell>
          <cell r="S97">
            <v>7.0193540097790797E-3</v>
          </cell>
        </row>
        <row r="98">
          <cell r="P98">
            <v>0.71590392233841338</v>
          </cell>
          <cell r="S98">
            <v>7.159039223384134E-3</v>
          </cell>
        </row>
        <row r="99">
          <cell r="P99">
            <v>0.73001006459902229</v>
          </cell>
          <cell r="S99">
            <v>7.3001006459902235E-3</v>
          </cell>
        </row>
        <row r="100">
          <cell r="P100">
            <v>0.74425382775973459</v>
          </cell>
          <cell r="S100">
            <v>7.4425382775973464E-3</v>
          </cell>
        </row>
        <row r="101">
          <cell r="P101">
            <v>0.75863521182055038</v>
          </cell>
          <cell r="S101">
            <v>7.5863521182055037E-3</v>
          </cell>
        </row>
        <row r="102">
          <cell r="P102">
            <v>0.77315421678146989</v>
          </cell>
          <cell r="S102">
            <v>7.7315421678146989E-3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BDF7-A7E1-4023-A727-F035FB2B126A}">
  <dimension ref="C1:R224"/>
  <sheetViews>
    <sheetView tabSelected="1" workbookViewId="0">
      <selection activeCell="S11" sqref="S11"/>
    </sheetView>
  </sheetViews>
  <sheetFormatPr defaultRowHeight="15" x14ac:dyDescent="0.25"/>
  <cols>
    <col min="6" max="6" width="12" bestFit="1" customWidth="1"/>
    <col min="13" max="13" width="12" bestFit="1" customWidth="1"/>
  </cols>
  <sheetData>
    <row r="1" spans="3:18" x14ac:dyDescent="0.25">
      <c r="E1" t="s">
        <v>16</v>
      </c>
      <c r="F1" s="108">
        <v>0.02</v>
      </c>
      <c r="J1" t="s">
        <v>8</v>
      </c>
      <c r="K1" s="108">
        <v>10</v>
      </c>
      <c r="L1" s="29" t="s">
        <v>153</v>
      </c>
      <c r="M1" s="108">
        <v>15</v>
      </c>
      <c r="Q1" t="s">
        <v>6</v>
      </c>
      <c r="R1" s="108">
        <v>100</v>
      </c>
    </row>
    <row r="2" spans="3:18" x14ac:dyDescent="0.25">
      <c r="E2" t="s">
        <v>76</v>
      </c>
      <c r="F2">
        <f>F3/1000/3600/(3.14159*G4^2/4)</f>
        <v>1.964877500301707E-3</v>
      </c>
      <c r="J2" t="s">
        <v>15</v>
      </c>
      <c r="K2" s="108">
        <v>0.56000000000000005</v>
      </c>
      <c r="L2" s="29" t="s">
        <v>10</v>
      </c>
      <c r="M2">
        <f>1/(1+(98-0.27*(M1+273))*K1/10000)</f>
        <v>0.98016153062024614</v>
      </c>
    </row>
    <row r="3" spans="3:18" x14ac:dyDescent="0.25">
      <c r="E3" t="s">
        <v>144</v>
      </c>
      <c r="F3" s="108">
        <v>500</v>
      </c>
      <c r="G3" t="s">
        <v>125</v>
      </c>
      <c r="J3" t="s">
        <v>2</v>
      </c>
      <c r="K3">
        <f>$K2*1.205*$K1/$M2/(273.15+$M1)*293.15</f>
        <v>7.0040412503487781</v>
      </c>
    </row>
    <row r="4" spans="3:18" x14ac:dyDescent="0.25">
      <c r="C4" t="s">
        <v>154</v>
      </c>
      <c r="D4" t="s">
        <v>46</v>
      </c>
      <c r="E4" t="s">
        <v>145</v>
      </c>
      <c r="F4" s="108">
        <v>30</v>
      </c>
      <c r="G4">
        <f>F4/100</f>
        <v>0.3</v>
      </c>
    </row>
    <row r="5" spans="3:18" x14ac:dyDescent="0.25">
      <c r="E5" t="s">
        <v>146</v>
      </c>
      <c r="F5" s="108">
        <v>2</v>
      </c>
      <c r="G5" t="s">
        <v>155</v>
      </c>
      <c r="J5" t="s">
        <v>3</v>
      </c>
      <c r="K5" t="s">
        <v>119</v>
      </c>
      <c r="L5" t="s">
        <v>147</v>
      </c>
      <c r="M5" t="s">
        <v>148</v>
      </c>
      <c r="N5" t="s">
        <v>124</v>
      </c>
      <c r="P5" t="s">
        <v>156</v>
      </c>
      <c r="Q5" t="s">
        <v>5</v>
      </c>
      <c r="R5" t="s">
        <v>18</v>
      </c>
    </row>
    <row r="6" spans="3:18" x14ac:dyDescent="0.25">
      <c r="E6" t="s">
        <v>149</v>
      </c>
      <c r="F6">
        <f>90-F5</f>
        <v>88</v>
      </c>
      <c r="J6" s="108">
        <v>1</v>
      </c>
      <c r="K6">
        <f>K$3*J6^2/1000/9.80665/G$4</f>
        <v>2.3807114731156168E-3</v>
      </c>
      <c r="L6">
        <f>COS(F$6*3.14159/180)*EXP(-F$12*K6^0.3333)</f>
        <v>2.8594119141622298E-2</v>
      </c>
      <c r="M6">
        <f>F$1/2*K6</f>
        <v>2.380711473115617E-5</v>
      </c>
      <c r="N6">
        <f>IF(K6&gt;F$9,M6,L6)</f>
        <v>2.8594119141622298E-2</v>
      </c>
      <c r="P6">
        <f>J6*3.14159*G$4^2/4</f>
        <v>7.0685774999999992E-2</v>
      </c>
      <c r="Q6">
        <f>P6*K$3/K$2/1.205/1000*24*3600</f>
        <v>63.389800904078491</v>
      </c>
      <c r="R6">
        <f>(N6*R$1*1000*9.80665+K$3*9.80665*R$1*COS(F$6))/101325</f>
        <v>0.34449114518459489</v>
      </c>
    </row>
    <row r="7" spans="3:18" x14ac:dyDescent="0.25">
      <c r="E7" t="s">
        <v>150</v>
      </c>
      <c r="F7">
        <f>0.0928*F5^(2/3)*F3^0.0913</f>
        <v>0.25980685239717732</v>
      </c>
      <c r="J7" s="108">
        <v>1.1000000000000001</v>
      </c>
      <c r="K7">
        <f t="shared" ref="K7:K70" si="0">K$3*J7^2/1000/9.80665/G$4</f>
        <v>2.8806608824698972E-3</v>
      </c>
      <c r="L7">
        <f t="shared" ref="L7:L70" si="1">COS(F$6*3.14159/180)*EXP(-F$12*K7^0.3333)</f>
        <v>2.8222720338490992E-2</v>
      </c>
      <c r="M7">
        <f t="shared" ref="M7:M70" si="2">F$1/2*K7</f>
        <v>2.8806608824698974E-5</v>
      </c>
      <c r="N7">
        <f t="shared" ref="N7:N70" si="3">IF(K7&gt;F$9,M7,L7)</f>
        <v>2.8222720338490992E-2</v>
      </c>
      <c r="P7">
        <f t="shared" ref="P7:P70" si="4">J7*3.14159*G$4^2/4</f>
        <v>7.7754352499999999E-2</v>
      </c>
      <c r="Q7">
        <f t="shared" ref="Q7:Q70" si="5">P7*K$3/K$2/1.205/1000*24*3600</f>
        <v>69.728780994486343</v>
      </c>
      <c r="R7">
        <f t="shared" ref="R7:R70" si="6">(N7*R$1*1000*9.80665+K$3*9.80665*R$1*COS(F$6))/101325</f>
        <v>0.34089659490309709</v>
      </c>
    </row>
    <row r="8" spans="3:18" x14ac:dyDescent="0.25">
      <c r="E8" t="s">
        <v>1</v>
      </c>
      <c r="F8">
        <f>8.64/F3^0.245</f>
        <v>1.8848035513951433</v>
      </c>
      <c r="J8" s="108">
        <v>1.2</v>
      </c>
      <c r="K8">
        <f t="shared" si="0"/>
        <v>3.4282245212864876E-3</v>
      </c>
      <c r="L8">
        <f t="shared" si="1"/>
        <v>2.7867037383803469E-2</v>
      </c>
      <c r="M8">
        <f t="shared" si="2"/>
        <v>3.428224521286488E-5</v>
      </c>
      <c r="N8">
        <f t="shared" si="3"/>
        <v>2.7867037383803469E-2</v>
      </c>
      <c r="P8">
        <f t="shared" si="4"/>
        <v>8.4822929999999991E-2</v>
      </c>
      <c r="Q8">
        <f t="shared" si="5"/>
        <v>76.067761084894201</v>
      </c>
      <c r="R8">
        <f t="shared" si="6"/>
        <v>0.33745414906289339</v>
      </c>
    </row>
    <row r="9" spans="3:18" x14ac:dyDescent="0.25">
      <c r="E9" t="s">
        <v>117</v>
      </c>
      <c r="F9">
        <f>F7*EXP(-F8*G4)</f>
        <v>0.1475987456955824</v>
      </c>
      <c r="J9" s="108">
        <v>1.3</v>
      </c>
      <c r="K9">
        <f t="shared" si="0"/>
        <v>4.0234023895653927E-3</v>
      </c>
      <c r="L9">
        <f t="shared" si="1"/>
        <v>2.7525413760658177E-2</v>
      </c>
      <c r="M9">
        <f t="shared" si="2"/>
        <v>4.023402389565393E-5</v>
      </c>
      <c r="N9">
        <f t="shared" si="3"/>
        <v>2.7525413760658177E-2</v>
      </c>
      <c r="P9">
        <f t="shared" si="4"/>
        <v>9.1891507499999997E-2</v>
      </c>
      <c r="Q9">
        <f t="shared" si="5"/>
        <v>82.406741175302045</v>
      </c>
      <c r="R9">
        <f t="shared" si="6"/>
        <v>0.33414777521249345</v>
      </c>
    </row>
    <row r="10" spans="3:18" x14ac:dyDescent="0.25">
      <c r="E10" t="s">
        <v>151</v>
      </c>
      <c r="F10">
        <f>0.185*(1-EXP(0.15*F6-13.5))*G4</f>
        <v>1.4384588752164688E-2</v>
      </c>
      <c r="J10" s="108">
        <v>1.4</v>
      </c>
      <c r="K10">
        <f t="shared" si="0"/>
        <v>4.6661944873066076E-3</v>
      </c>
      <c r="L10">
        <f t="shared" si="1"/>
        <v>2.7196480434934001E-2</v>
      </c>
      <c r="M10">
        <f t="shared" si="2"/>
        <v>4.666194487306608E-5</v>
      </c>
      <c r="N10">
        <f t="shared" si="3"/>
        <v>2.7196480434934001E-2</v>
      </c>
      <c r="P10">
        <f t="shared" si="4"/>
        <v>9.8960084999999975E-2</v>
      </c>
      <c r="Q10">
        <f t="shared" si="5"/>
        <v>88.745721265709889</v>
      </c>
      <c r="R10">
        <f t="shared" si="6"/>
        <v>0.33096422327692665</v>
      </c>
    </row>
    <row r="11" spans="3:18" x14ac:dyDescent="0.25">
      <c r="E11" t="s">
        <v>120</v>
      </c>
      <c r="F11">
        <f>F1/2*F9+F10</f>
        <v>1.5860576209120514E-2</v>
      </c>
      <c r="J11" s="108">
        <v>1.5</v>
      </c>
      <c r="K11">
        <f t="shared" si="0"/>
        <v>5.3566008145101377E-3</v>
      </c>
      <c r="L11">
        <f t="shared" si="1"/>
        <v>2.6879088855421087E-2</v>
      </c>
      <c r="M11">
        <f t="shared" si="2"/>
        <v>5.3566008145101376E-5</v>
      </c>
      <c r="N11">
        <f t="shared" si="3"/>
        <v>2.6879088855421087E-2</v>
      </c>
      <c r="P11">
        <f t="shared" si="4"/>
        <v>0.10602866249999998</v>
      </c>
      <c r="Q11">
        <f t="shared" si="5"/>
        <v>95.084701356117719</v>
      </c>
      <c r="R11">
        <f t="shared" si="6"/>
        <v>0.3278923771054682</v>
      </c>
    </row>
    <row r="12" spans="3:18" x14ac:dyDescent="0.25">
      <c r="E12" t="s">
        <v>152</v>
      </c>
      <c r="F12">
        <f>-LN(F11/COS(F6*3.14159/180))/F9^(1/3)</f>
        <v>1.4923456482855149</v>
      </c>
      <c r="J12" s="108">
        <v>1.6</v>
      </c>
      <c r="K12">
        <f t="shared" si="0"/>
        <v>6.0946213711759794E-3</v>
      </c>
      <c r="L12">
        <f t="shared" si="1"/>
        <v>2.6572263014352129E-2</v>
      </c>
      <c r="M12">
        <f t="shared" si="2"/>
        <v>6.0946213711759798E-5</v>
      </c>
      <c r="N12">
        <f t="shared" si="3"/>
        <v>2.6572263014352129E-2</v>
      </c>
      <c r="P12">
        <f t="shared" si="4"/>
        <v>0.11309724</v>
      </c>
      <c r="Q12">
        <f t="shared" si="5"/>
        <v>101.42368144652558</v>
      </c>
      <c r="R12">
        <f t="shared" si="6"/>
        <v>0.3249227904937545</v>
      </c>
    </row>
    <row r="13" spans="3:18" x14ac:dyDescent="0.25">
      <c r="J13" s="108">
        <v>1.7</v>
      </c>
      <c r="K13">
        <f t="shared" si="0"/>
        <v>6.8802561573041311E-3</v>
      </c>
      <c r="L13">
        <f t="shared" si="1"/>
        <v>2.6275164289810027E-2</v>
      </c>
      <c r="M13">
        <f t="shared" si="2"/>
        <v>6.8802561573041307E-5</v>
      </c>
      <c r="N13">
        <f t="shared" si="3"/>
        <v>2.6275164289810027E-2</v>
      </c>
      <c r="P13">
        <f t="shared" si="4"/>
        <v>0.12016581749999998</v>
      </c>
      <c r="Q13">
        <f t="shared" si="5"/>
        <v>107.76266153693342</v>
      </c>
      <c r="R13">
        <f t="shared" si="6"/>
        <v>0.32204734691415343</v>
      </c>
    </row>
    <row r="14" spans="3:18" x14ac:dyDescent="0.25">
      <c r="J14" s="108">
        <v>1.8</v>
      </c>
      <c r="K14">
        <f t="shared" si="0"/>
        <v>7.7135051728945995E-3</v>
      </c>
      <c r="L14">
        <f t="shared" si="1"/>
        <v>2.5987065108306437E-2</v>
      </c>
      <c r="M14">
        <f t="shared" si="2"/>
        <v>7.7135051728945996E-5</v>
      </c>
      <c r="N14">
        <f t="shared" si="3"/>
        <v>2.5987065108306437E-2</v>
      </c>
      <c r="P14">
        <f t="shared" si="4"/>
        <v>0.127234395</v>
      </c>
      <c r="Q14">
        <f t="shared" si="5"/>
        <v>114.10164162734131</v>
      </c>
      <c r="R14">
        <f t="shared" si="6"/>
        <v>0.31925900461137308</v>
      </c>
    </row>
    <row r="15" spans="3:18" x14ac:dyDescent="0.25">
      <c r="J15" s="108">
        <v>1.9</v>
      </c>
      <c r="K15">
        <f t="shared" si="0"/>
        <v>8.5943684179473762E-3</v>
      </c>
      <c r="L15">
        <f t="shared" si="1"/>
        <v>2.5707328846173778E-2</v>
      </c>
      <c r="M15">
        <f t="shared" si="2"/>
        <v>8.5943684179473764E-5</v>
      </c>
      <c r="N15">
        <f t="shared" si="3"/>
        <v>2.5707328846173778E-2</v>
      </c>
      <c r="P15">
        <f t="shared" si="4"/>
        <v>0.13430297249999998</v>
      </c>
      <c r="Q15">
        <f t="shared" si="5"/>
        <v>120.44062171774914</v>
      </c>
      <c r="R15">
        <f t="shared" si="6"/>
        <v>0.31655160207987226</v>
      </c>
    </row>
    <row r="16" spans="3:18" x14ac:dyDescent="0.25">
      <c r="J16" s="108">
        <v>2</v>
      </c>
      <c r="K16">
        <f t="shared" si="0"/>
        <v>9.522845892462467E-3</v>
      </c>
      <c r="L16">
        <f t="shared" si="1"/>
        <v>2.5435394240311129E-2</v>
      </c>
      <c r="M16">
        <f t="shared" si="2"/>
        <v>9.5228458924624679E-5</v>
      </c>
      <c r="N16">
        <f t="shared" si="3"/>
        <v>2.5435394240311129E-2</v>
      </c>
      <c r="P16">
        <f t="shared" si="4"/>
        <v>0.14137154999999998</v>
      </c>
      <c r="Q16">
        <f t="shared" si="5"/>
        <v>126.77960180815698</v>
      </c>
      <c r="R16">
        <f t="shared" si="6"/>
        <v>0.31391970718465095</v>
      </c>
    </row>
    <row r="17" spans="10:18" x14ac:dyDescent="0.25">
      <c r="J17" s="108">
        <v>2.1</v>
      </c>
      <c r="K17">
        <f t="shared" si="0"/>
        <v>1.049893759643987E-2</v>
      </c>
      <c r="L17">
        <f t="shared" si="1"/>
        <v>2.5170763120951008E-2</v>
      </c>
      <c r="M17">
        <f t="shared" si="2"/>
        <v>1.049893759643987E-4</v>
      </c>
      <c r="N17">
        <f t="shared" si="3"/>
        <v>2.5170763120951008E-2</v>
      </c>
      <c r="P17">
        <f t="shared" si="4"/>
        <v>0.14844012749999999</v>
      </c>
      <c r="Q17">
        <f t="shared" si="5"/>
        <v>133.11858189856483</v>
      </c>
      <c r="R17">
        <f t="shared" si="6"/>
        <v>0.31135849843392516</v>
      </c>
    </row>
    <row r="18" spans="10:18" x14ac:dyDescent="0.25">
      <c r="J18" s="108">
        <v>2.2000000000000002</v>
      </c>
      <c r="K18">
        <f t="shared" si="0"/>
        <v>1.1522643529879589E-2</v>
      </c>
      <c r="L18">
        <f t="shared" si="1"/>
        <v>2.4912990633527601E-2</v>
      </c>
      <c r="M18">
        <f t="shared" si="2"/>
        <v>1.1522643529879589E-4</v>
      </c>
      <c r="N18">
        <f t="shared" si="3"/>
        <v>2.4912990633527601E-2</v>
      </c>
      <c r="P18">
        <f t="shared" si="4"/>
        <v>0.155508705</v>
      </c>
      <c r="Q18">
        <f t="shared" si="5"/>
        <v>139.45756198897269</v>
      </c>
      <c r="R18">
        <f t="shared" si="6"/>
        <v>0.3088636703423478</v>
      </c>
    </row>
    <row r="19" spans="10:18" x14ac:dyDescent="0.25">
      <c r="J19" s="108">
        <v>2.2999999999999998</v>
      </c>
      <c r="K19">
        <f t="shared" si="0"/>
        <v>1.2593963692781611E-2</v>
      </c>
      <c r="L19">
        <f t="shared" si="1"/>
        <v>2.4661677354017659E-2</v>
      </c>
      <c r="M19">
        <f t="shared" si="2"/>
        <v>1.2593963692781611E-4</v>
      </c>
      <c r="N19">
        <f t="shared" si="3"/>
        <v>2.4661677354017659E-2</v>
      </c>
      <c r="P19">
        <f t="shared" si="4"/>
        <v>0.16257728249999998</v>
      </c>
      <c r="Q19">
        <f t="shared" si="5"/>
        <v>145.79654207938052</v>
      </c>
      <c r="R19">
        <f t="shared" si="6"/>
        <v>0.30643135712003722</v>
      </c>
    </row>
    <row r="20" spans="10:18" x14ac:dyDescent="0.25">
      <c r="J20" s="108">
        <v>2.4</v>
      </c>
      <c r="K20">
        <f t="shared" si="0"/>
        <v>1.371289808514595E-2</v>
      </c>
      <c r="L20">
        <f t="shared" si="1"/>
        <v>2.4416462864417527E-2</v>
      </c>
      <c r="M20">
        <f t="shared" si="2"/>
        <v>1.3712898085145952E-4</v>
      </c>
      <c r="N20">
        <f t="shared" si="3"/>
        <v>2.4416462864417527E-2</v>
      </c>
      <c r="P20">
        <f t="shared" si="4"/>
        <v>0.16964585999999998</v>
      </c>
      <c r="Q20">
        <f t="shared" si="5"/>
        <v>152.1355221697884</v>
      </c>
      <c r="R20">
        <f t="shared" si="6"/>
        <v>0.304058070493403</v>
      </c>
    </row>
    <row r="21" spans="10:18" x14ac:dyDescent="0.25">
      <c r="J21" s="108">
        <v>2.5</v>
      </c>
      <c r="K21">
        <f t="shared" si="0"/>
        <v>1.4879446706972605E-2</v>
      </c>
      <c r="L21">
        <f t="shared" si="1"/>
        <v>2.4177020468159467E-2</v>
      </c>
      <c r="M21">
        <f t="shared" si="2"/>
        <v>1.4879446706972605E-4</v>
      </c>
      <c r="N21">
        <f t="shared" si="3"/>
        <v>2.4177020468159467E-2</v>
      </c>
      <c r="P21">
        <f t="shared" si="4"/>
        <v>0.17671443749999999</v>
      </c>
      <c r="Q21">
        <f t="shared" si="5"/>
        <v>158.47450226019623</v>
      </c>
      <c r="R21">
        <f t="shared" si="6"/>
        <v>0.30174064855877275</v>
      </c>
    </row>
    <row r="22" spans="10:18" x14ac:dyDescent="0.25">
      <c r="J22" s="108">
        <v>2.6</v>
      </c>
      <c r="K22">
        <f t="shared" si="0"/>
        <v>1.6093609558261571E-2</v>
      </c>
      <c r="L22">
        <f t="shared" si="1"/>
        <v>2.3943052805518464E-2</v>
      </c>
      <c r="M22">
        <f t="shared" si="2"/>
        <v>1.6093609558261572E-4</v>
      </c>
      <c r="N22">
        <f t="shared" si="3"/>
        <v>2.3943052805518464E-2</v>
      </c>
      <c r="P22">
        <f t="shared" si="4"/>
        <v>0.18378301499999999</v>
      </c>
      <c r="Q22">
        <f t="shared" si="5"/>
        <v>164.81348235060409</v>
      </c>
      <c r="R22">
        <f t="shared" si="6"/>
        <v>0.29947621334649704</v>
      </c>
    </row>
    <row r="23" spans="10:18" x14ac:dyDescent="0.25">
      <c r="J23" s="108">
        <v>2.7</v>
      </c>
      <c r="K23">
        <f t="shared" si="0"/>
        <v>1.7355386639012847E-2</v>
      </c>
      <c r="L23">
        <f t="shared" si="1"/>
        <v>2.3714288186878166E-2</v>
      </c>
      <c r="M23">
        <f t="shared" si="2"/>
        <v>1.7355386639012846E-4</v>
      </c>
      <c r="N23">
        <f t="shared" si="3"/>
        <v>2.3714288186878166E-2</v>
      </c>
      <c r="P23">
        <f t="shared" si="4"/>
        <v>0.1908515925</v>
      </c>
      <c r="Q23">
        <f t="shared" si="5"/>
        <v>171.15246244101195</v>
      </c>
      <c r="R23">
        <f t="shared" si="6"/>
        <v>0.29726213533278978</v>
      </c>
    </row>
    <row r="24" spans="10:18" x14ac:dyDescent="0.25">
      <c r="J24" s="108">
        <v>2.8</v>
      </c>
      <c r="K24">
        <f t="shared" si="0"/>
        <v>1.8664777949226431E-2</v>
      </c>
      <c r="L24">
        <f t="shared" si="1"/>
        <v>2.3490477503981168E-2</v>
      </c>
      <c r="M24">
        <f t="shared" si="2"/>
        <v>1.8664777949226432E-4</v>
      </c>
      <c r="N24">
        <f t="shared" si="3"/>
        <v>2.3490477503981168E-2</v>
      </c>
      <c r="P24">
        <f t="shared" si="4"/>
        <v>0.19792016999999995</v>
      </c>
      <c r="Q24">
        <f t="shared" si="5"/>
        <v>177.49144253141978</v>
      </c>
      <c r="R24">
        <f t="shared" si="6"/>
        <v>0.295096003545539</v>
      </c>
    </row>
    <row r="25" spans="10:18" x14ac:dyDescent="0.25">
      <c r="J25" s="108">
        <v>2.9</v>
      </c>
      <c r="K25">
        <f t="shared" si="0"/>
        <v>2.0021783488902337E-2</v>
      </c>
      <c r="L25">
        <f t="shared" si="1"/>
        <v>2.3271391610579294E-2</v>
      </c>
      <c r="M25">
        <f t="shared" si="2"/>
        <v>2.0021783488902338E-4</v>
      </c>
      <c r="N25">
        <f t="shared" si="3"/>
        <v>2.3271391610579294E-2</v>
      </c>
      <c r="P25">
        <f t="shared" si="4"/>
        <v>0.20498874749999996</v>
      </c>
      <c r="Q25">
        <f t="shared" si="5"/>
        <v>183.83042262182755</v>
      </c>
      <c r="R25">
        <f t="shared" si="6"/>
        <v>0.29297560021316349</v>
      </c>
    </row>
    <row r="26" spans="10:18" x14ac:dyDescent="0.25">
      <c r="J26" s="108">
        <v>3</v>
      </c>
      <c r="K26">
        <f t="shared" si="0"/>
        <v>2.1426403258040551E-2</v>
      </c>
      <c r="L26">
        <f t="shared" si="1"/>
        <v>2.3056819087350692E-2</v>
      </c>
      <c r="M26">
        <f t="shared" si="2"/>
        <v>2.142640325804055E-4</v>
      </c>
      <c r="N26">
        <f t="shared" si="3"/>
        <v>2.3056819087350692E-2</v>
      </c>
      <c r="P26">
        <f t="shared" si="4"/>
        <v>0.21205732499999996</v>
      </c>
      <c r="Q26">
        <f t="shared" si="5"/>
        <v>190.16940271223544</v>
      </c>
      <c r="R26">
        <f t="shared" si="6"/>
        <v>0.29089887913256168</v>
      </c>
    </row>
    <row r="27" spans="10:18" x14ac:dyDescent="0.25">
      <c r="J27" s="108">
        <v>3.1</v>
      </c>
      <c r="K27">
        <f t="shared" si="0"/>
        <v>2.287863725664108E-2</v>
      </c>
      <c r="L27">
        <f t="shared" si="1"/>
        <v>2.2846564323722347E-2</v>
      </c>
      <c r="M27">
        <f t="shared" si="2"/>
        <v>2.287863725664108E-4</v>
      </c>
      <c r="N27">
        <f t="shared" si="3"/>
        <v>2.2846564323722347E-2</v>
      </c>
      <c r="P27">
        <f t="shared" si="4"/>
        <v>0.2191259025</v>
      </c>
      <c r="Q27">
        <f t="shared" si="5"/>
        <v>196.50838280264333</v>
      </c>
      <c r="R27">
        <f t="shared" si="6"/>
        <v>0.28886394710420155</v>
      </c>
    </row>
    <row r="28" spans="10:18" x14ac:dyDescent="0.25">
      <c r="J28" s="108">
        <v>3.2</v>
      </c>
      <c r="K28">
        <f t="shared" si="0"/>
        <v>2.4378485484703918E-2</v>
      </c>
      <c r="L28">
        <f t="shared" si="1"/>
        <v>2.2640445862843653E-2</v>
      </c>
      <c r="M28">
        <f t="shared" si="2"/>
        <v>2.4378485484703919E-4</v>
      </c>
      <c r="N28">
        <f t="shared" si="3"/>
        <v>2.2640445862843653E-2</v>
      </c>
      <c r="P28">
        <f t="shared" si="4"/>
        <v>0.22619448</v>
      </c>
      <c r="Q28">
        <f t="shared" si="5"/>
        <v>202.84736289305116</v>
      </c>
      <c r="R28">
        <f t="shared" si="6"/>
        <v>0.2868690479140944</v>
      </c>
    </row>
    <row r="29" spans="10:18" x14ac:dyDescent="0.25">
      <c r="J29" s="108">
        <v>3.3</v>
      </c>
      <c r="K29">
        <f t="shared" si="0"/>
        <v>2.592594794222906E-2</v>
      </c>
      <c r="L29">
        <f t="shared" si="1"/>
        <v>2.2438294966474898E-2</v>
      </c>
      <c r="M29">
        <f t="shared" si="2"/>
        <v>2.5925947942229062E-4</v>
      </c>
      <c r="N29">
        <f t="shared" si="3"/>
        <v>2.2438294966474898E-2</v>
      </c>
      <c r="P29">
        <f t="shared" si="4"/>
        <v>0.23326305749999998</v>
      </c>
      <c r="Q29">
        <f t="shared" si="5"/>
        <v>209.18634298345901</v>
      </c>
      <c r="R29">
        <f t="shared" si="6"/>
        <v>0.28491254844419589</v>
      </c>
    </row>
    <row r="30" spans="10:18" x14ac:dyDescent="0.25">
      <c r="J30" s="108">
        <v>3.4</v>
      </c>
      <c r="K30">
        <f t="shared" si="0"/>
        <v>2.7521024629216524E-2</v>
      </c>
      <c r="L30">
        <f t="shared" si="1"/>
        <v>2.2239954364757564E-2</v>
      </c>
      <c r="M30">
        <f t="shared" si="2"/>
        <v>2.7521024629216523E-4</v>
      </c>
      <c r="N30">
        <f t="shared" si="3"/>
        <v>2.2239954364757564E-2</v>
      </c>
      <c r="P30">
        <f t="shared" si="4"/>
        <v>0.24033163499999996</v>
      </c>
      <c r="Q30">
        <f t="shared" si="5"/>
        <v>215.52532307386684</v>
      </c>
      <c r="R30">
        <f t="shared" si="6"/>
        <v>0.28299292657216896</v>
      </c>
    </row>
    <row r="31" spans="10:18" x14ac:dyDescent="0.25">
      <c r="J31" s="108">
        <v>3.5</v>
      </c>
      <c r="K31">
        <f t="shared" si="0"/>
        <v>2.9163715545666311E-2</v>
      </c>
      <c r="L31">
        <f t="shared" si="1"/>
        <v>2.204527716228382E-2</v>
      </c>
      <c r="M31">
        <f t="shared" si="2"/>
        <v>2.9163715545666309E-4</v>
      </c>
      <c r="N31">
        <f t="shared" si="3"/>
        <v>2.204527716228382E-2</v>
      </c>
      <c r="P31">
        <f t="shared" si="4"/>
        <v>0.24740021249999997</v>
      </c>
      <c r="Q31">
        <f t="shared" si="5"/>
        <v>221.86430316427473</v>
      </c>
      <c r="R31">
        <f t="shared" si="6"/>
        <v>0.28110876058387474</v>
      </c>
    </row>
    <row r="32" spans="10:18" x14ac:dyDescent="0.25">
      <c r="J32" s="108">
        <v>3.6</v>
      </c>
      <c r="K32">
        <f t="shared" si="0"/>
        <v>3.0854020691578398E-2</v>
      </c>
      <c r="L32">
        <f t="shared" si="1"/>
        <v>2.185412587699501E-2</v>
      </c>
      <c r="M32">
        <f t="shared" si="2"/>
        <v>3.0854020691578398E-4</v>
      </c>
      <c r="N32">
        <f t="shared" si="3"/>
        <v>2.185412587699501E-2</v>
      </c>
      <c r="P32">
        <f t="shared" si="4"/>
        <v>0.25446879</v>
      </c>
      <c r="Q32">
        <f t="shared" si="5"/>
        <v>228.20328325468262</v>
      </c>
      <c r="R32">
        <f t="shared" si="6"/>
        <v>0.27925871987143702</v>
      </c>
    </row>
    <row r="33" spans="10:18" x14ac:dyDescent="0.25">
      <c r="J33" s="108">
        <v>3.7</v>
      </c>
      <c r="K33">
        <f t="shared" si="0"/>
        <v>3.2591940066952797E-2</v>
      </c>
      <c r="L33">
        <f t="shared" si="1"/>
        <v>2.1666371592519128E-2</v>
      </c>
      <c r="M33">
        <f t="shared" si="2"/>
        <v>3.2591940066952797E-4</v>
      </c>
      <c r="N33">
        <f t="shared" si="3"/>
        <v>2.1666371592519128E-2</v>
      </c>
      <c r="P33">
        <f t="shared" si="4"/>
        <v>0.26153736749999995</v>
      </c>
      <c r="Q33">
        <f t="shared" si="5"/>
        <v>234.54226334509039</v>
      </c>
      <c r="R33">
        <f t="shared" si="6"/>
        <v>0.27744155672921605</v>
      </c>
    </row>
    <row r="34" spans="10:18" x14ac:dyDescent="0.25">
      <c r="J34" s="108">
        <v>3.8</v>
      </c>
      <c r="K34">
        <f t="shared" si="0"/>
        <v>3.4377473671789505E-2</v>
      </c>
      <c r="L34">
        <f t="shared" si="1"/>
        <v>2.1481893207837936E-2</v>
      </c>
      <c r="M34">
        <f t="shared" si="2"/>
        <v>3.4377473671789506E-4</v>
      </c>
      <c r="N34">
        <f t="shared" si="3"/>
        <v>2.1481893207837936E-2</v>
      </c>
      <c r="P34">
        <f t="shared" si="4"/>
        <v>0.26860594499999996</v>
      </c>
      <c r="Q34">
        <f t="shared" si="5"/>
        <v>240.88124343549828</v>
      </c>
      <c r="R34">
        <f t="shared" si="6"/>
        <v>0.27565609909177829</v>
      </c>
    </row>
    <row r="35" spans="10:18" x14ac:dyDescent="0.25">
      <c r="J35" s="108">
        <v>3.9</v>
      </c>
      <c r="K35">
        <f t="shared" si="0"/>
        <v>3.6210621506088524E-2</v>
      </c>
      <c r="L35">
        <f t="shared" si="1"/>
        <v>2.1300576770826789E-2</v>
      </c>
      <c r="M35">
        <f t="shared" si="2"/>
        <v>3.6210621506088523E-4</v>
      </c>
      <c r="N35">
        <f t="shared" si="3"/>
        <v>2.1300576770826789E-2</v>
      </c>
      <c r="P35">
        <f t="shared" si="4"/>
        <v>0.27567452249999996</v>
      </c>
      <c r="Q35">
        <f t="shared" si="5"/>
        <v>247.22022352590611</v>
      </c>
      <c r="R35">
        <f t="shared" si="6"/>
        <v>0.27390124408362104</v>
      </c>
    </row>
    <row r="36" spans="10:18" x14ac:dyDescent="0.25">
      <c r="J36" s="108">
        <v>4</v>
      </c>
      <c r="K36">
        <f t="shared" si="0"/>
        <v>3.8091383569849868E-2</v>
      </c>
      <c r="L36">
        <f t="shared" si="1"/>
        <v>2.1122314884369886E-2</v>
      </c>
      <c r="M36">
        <f t="shared" si="2"/>
        <v>3.8091383569849871E-4</v>
      </c>
      <c r="N36">
        <f t="shared" si="3"/>
        <v>2.1122314884369886E-2</v>
      </c>
      <c r="P36">
        <f t="shared" si="4"/>
        <v>0.28274309999999997</v>
      </c>
      <c r="Q36">
        <f t="shared" si="5"/>
        <v>253.55920361631397</v>
      </c>
      <c r="R36">
        <f t="shared" si="6"/>
        <v>0.27217595227131153</v>
      </c>
    </row>
    <row r="37" spans="10:18" x14ac:dyDescent="0.25">
      <c r="J37" s="108">
        <v>4.0999999999999996</v>
      </c>
      <c r="K37">
        <f t="shared" si="0"/>
        <v>4.0019759863073517E-2</v>
      </c>
      <c r="L37">
        <f t="shared" si="1"/>
        <v>2.0947006175520679E-2</v>
      </c>
      <c r="M37">
        <f t="shared" si="2"/>
        <v>4.0019759863073518E-4</v>
      </c>
      <c r="N37">
        <f t="shared" si="3"/>
        <v>2.0947006175520679E-2</v>
      </c>
      <c r="P37">
        <f t="shared" si="4"/>
        <v>0.28981167749999992</v>
      </c>
      <c r="Q37">
        <f t="shared" si="5"/>
        <v>259.89818370672174</v>
      </c>
      <c r="R37">
        <f t="shared" si="6"/>
        <v>0.27047924252580341</v>
      </c>
    </row>
    <row r="38" spans="10:18" x14ac:dyDescent="0.25">
      <c r="J38" s="108">
        <v>4.2</v>
      </c>
      <c r="K38">
        <f t="shared" si="0"/>
        <v>4.1995750385759478E-2</v>
      </c>
      <c r="L38">
        <f t="shared" si="1"/>
        <v>2.0774554819631582E-2</v>
      </c>
      <c r="M38">
        <f t="shared" si="2"/>
        <v>4.199575038575948E-4</v>
      </c>
      <c r="N38">
        <f t="shared" si="3"/>
        <v>2.0774554819631582E-2</v>
      </c>
      <c r="P38">
        <f t="shared" si="4"/>
        <v>0.29688025499999998</v>
      </c>
      <c r="Q38">
        <f t="shared" si="5"/>
        <v>266.23716379712965</v>
      </c>
      <c r="R38">
        <f t="shared" si="6"/>
        <v>0.26881018741676838</v>
      </c>
    </row>
    <row r="39" spans="10:18" x14ac:dyDescent="0.25">
      <c r="J39" s="108">
        <v>4.3</v>
      </c>
      <c r="K39">
        <f t="shared" si="0"/>
        <v>4.4019355137907751E-2</v>
      </c>
      <c r="L39">
        <f t="shared" si="1"/>
        <v>2.060487011258004E-2</v>
      </c>
      <c r="M39">
        <f t="shared" si="2"/>
        <v>4.4019355137907751E-4</v>
      </c>
      <c r="N39">
        <f t="shared" si="3"/>
        <v>2.060487011258004E-2</v>
      </c>
      <c r="P39">
        <f t="shared" si="4"/>
        <v>0.30394883249999999</v>
      </c>
      <c r="Q39">
        <f t="shared" si="5"/>
        <v>272.57614388753751</v>
      </c>
      <c r="R39">
        <f t="shared" si="6"/>
        <v>0.26716790907242394</v>
      </c>
    </row>
    <row r="40" spans="10:18" x14ac:dyDescent="0.25">
      <c r="J40" s="108">
        <v>4.4000000000000004</v>
      </c>
      <c r="K40">
        <f t="shared" si="0"/>
        <v>4.6090574119518356E-2</v>
      </c>
      <c r="L40">
        <f t="shared" si="1"/>
        <v>2.0437866085217925E-2</v>
      </c>
      <c r="M40">
        <f t="shared" si="2"/>
        <v>4.6090574119518358E-4</v>
      </c>
      <c r="N40">
        <f t="shared" si="3"/>
        <v>2.0437866085217925E-2</v>
      </c>
      <c r="P40">
        <f t="shared" si="4"/>
        <v>0.31101740999999999</v>
      </c>
      <c r="Q40">
        <f t="shared" si="5"/>
        <v>278.91512397794537</v>
      </c>
      <c r="R40">
        <f t="shared" si="6"/>
        <v>0.26555157544801661</v>
      </c>
    </row>
    <row r="41" spans="10:18" x14ac:dyDescent="0.25">
      <c r="J41" s="108">
        <v>4.5</v>
      </c>
      <c r="K41">
        <f t="shared" si="0"/>
        <v>4.8209407330591252E-2</v>
      </c>
      <c r="L41">
        <f t="shared" si="1"/>
        <v>2.0273461155006053E-2</v>
      </c>
      <c r="M41">
        <f t="shared" si="2"/>
        <v>4.8209407330591252E-4</v>
      </c>
      <c r="N41">
        <f t="shared" si="3"/>
        <v>2.0273461155006053E-2</v>
      </c>
      <c r="P41">
        <f t="shared" si="4"/>
        <v>0.3180859875</v>
      </c>
      <c r="Q41">
        <f t="shared" si="5"/>
        <v>285.25410406835323</v>
      </c>
      <c r="R41">
        <f t="shared" si="6"/>
        <v>0.26396039695419743</v>
      </c>
    </row>
    <row r="42" spans="10:18" x14ac:dyDescent="0.25">
      <c r="J42" s="108">
        <v>4.5999999999999996</v>
      </c>
      <c r="K42">
        <f t="shared" si="0"/>
        <v>5.0375854771126445E-2</v>
      </c>
      <c r="L42">
        <f t="shared" si="1"/>
        <v>2.0111577810495985E-2</v>
      </c>
      <c r="M42">
        <f t="shared" si="2"/>
        <v>5.0375854771126446E-4</v>
      </c>
      <c r="N42">
        <f t="shared" si="3"/>
        <v>2.0111577810495985E-2</v>
      </c>
      <c r="P42">
        <f t="shared" si="4"/>
        <v>0.32515456499999995</v>
      </c>
      <c r="Q42">
        <f t="shared" si="5"/>
        <v>291.59308415876103</v>
      </c>
      <c r="R42">
        <f t="shared" si="6"/>
        <v>0.26239362340330713</v>
      </c>
    </row>
    <row r="43" spans="10:18" x14ac:dyDescent="0.25">
      <c r="J43" s="108">
        <v>4.7</v>
      </c>
      <c r="K43">
        <f t="shared" si="0"/>
        <v>5.2589916441123978E-2</v>
      </c>
      <c r="L43">
        <f t="shared" si="1"/>
        <v>1.9952142324910955E-2</v>
      </c>
      <c r="M43">
        <f t="shared" si="2"/>
        <v>5.2589916441123975E-4</v>
      </c>
      <c r="N43">
        <f t="shared" si="3"/>
        <v>1.9952142324910955E-2</v>
      </c>
      <c r="P43">
        <f t="shared" si="4"/>
        <v>0.33222314250000001</v>
      </c>
      <c r="Q43">
        <f t="shared" si="5"/>
        <v>297.93206424916889</v>
      </c>
      <c r="R43">
        <f t="shared" si="6"/>
        <v>0.26085054123729434</v>
      </c>
    </row>
    <row r="44" spans="10:18" x14ac:dyDescent="0.25">
      <c r="J44" s="108">
        <v>4.8</v>
      </c>
      <c r="K44">
        <f t="shared" si="0"/>
        <v>5.4851592340583802E-2</v>
      </c>
      <c r="L44">
        <f t="shared" si="1"/>
        <v>1.9795084495576497E-2</v>
      </c>
      <c r="M44">
        <f t="shared" si="2"/>
        <v>5.4851592340583808E-4</v>
      </c>
      <c r="N44">
        <f t="shared" si="3"/>
        <v>1.9795084495576497E-2</v>
      </c>
      <c r="P44">
        <f t="shared" si="4"/>
        <v>0.33929171999999996</v>
      </c>
      <c r="Q44">
        <f t="shared" si="5"/>
        <v>304.2710443395768</v>
      </c>
      <c r="R44">
        <f t="shared" si="6"/>
        <v>0.25933047100581863</v>
      </c>
    </row>
    <row r="45" spans="10:18" x14ac:dyDescent="0.25">
      <c r="J45" s="108">
        <v>4.9000000000000004</v>
      </c>
      <c r="K45">
        <f t="shared" si="0"/>
        <v>5.7160882469505965E-2</v>
      </c>
      <c r="L45">
        <f t="shared" si="1"/>
        <v>1.9640337406374636E-2</v>
      </c>
      <c r="M45">
        <f t="shared" si="2"/>
        <v>5.7160882469505967E-4</v>
      </c>
      <c r="N45">
        <f t="shared" si="3"/>
        <v>1.9640337406374636E-2</v>
      </c>
      <c r="P45">
        <f t="shared" si="4"/>
        <v>0.34636029749999997</v>
      </c>
      <c r="Q45">
        <f t="shared" si="5"/>
        <v>310.61002442998461</v>
      </c>
      <c r="R45">
        <f t="shared" si="6"/>
        <v>0.25783276506718411</v>
      </c>
    </row>
    <row r="46" spans="10:18" x14ac:dyDescent="0.25">
      <c r="J46" s="108">
        <v>5</v>
      </c>
      <c r="K46">
        <f t="shared" si="0"/>
        <v>5.9517786827890419E-2</v>
      </c>
      <c r="L46">
        <f t="shared" si="1"/>
        <v>1.9487837210756215E-2</v>
      </c>
      <c r="M46">
        <f t="shared" si="2"/>
        <v>5.9517786827890419E-4</v>
      </c>
      <c r="N46">
        <f t="shared" si="3"/>
        <v>1.9487837210756215E-2</v>
      </c>
      <c r="P46">
        <f t="shared" si="4"/>
        <v>0.35342887499999998</v>
      </c>
      <c r="Q46">
        <f t="shared" si="5"/>
        <v>316.94900452039246</v>
      </c>
      <c r="R46">
        <f t="shared" si="6"/>
        <v>0.25635680548824369</v>
      </c>
    </row>
    <row r="47" spans="10:18" x14ac:dyDescent="0.25">
      <c r="J47" s="108">
        <v>5.0999999999999996</v>
      </c>
      <c r="K47">
        <f t="shared" si="0"/>
        <v>6.1922305415737192E-2</v>
      </c>
      <c r="L47">
        <f t="shared" si="1"/>
        <v>1.9337522933153987E-2</v>
      </c>
      <c r="M47">
        <f t="shared" si="2"/>
        <v>6.1922305415737196E-4</v>
      </c>
      <c r="N47">
        <f t="shared" si="3"/>
        <v>1.9337522933153987E-2</v>
      </c>
      <c r="P47">
        <f t="shared" si="4"/>
        <v>0.36049745249999993</v>
      </c>
      <c r="Q47">
        <f t="shared" si="5"/>
        <v>323.28798461080027</v>
      </c>
      <c r="R47">
        <f t="shared" si="6"/>
        <v>0.25490200212239333</v>
      </c>
    </row>
    <row r="48" spans="10:18" x14ac:dyDescent="0.25">
      <c r="J48" s="108">
        <v>5.2</v>
      </c>
      <c r="K48">
        <f t="shared" si="0"/>
        <v>6.4374438233046283E-2</v>
      </c>
      <c r="L48">
        <f t="shared" si="1"/>
        <v>1.9189336286903856E-2</v>
      </c>
      <c r="M48">
        <f t="shared" si="2"/>
        <v>6.4374438233046288E-4</v>
      </c>
      <c r="N48">
        <f t="shared" si="3"/>
        <v>1.9189336286903856E-2</v>
      </c>
      <c r="P48">
        <f t="shared" si="4"/>
        <v>0.36756602999999999</v>
      </c>
      <c r="Q48">
        <f t="shared" si="5"/>
        <v>329.62696470120818</v>
      </c>
      <c r="R48">
        <f t="shared" si="6"/>
        <v>0.25346779084733889</v>
      </c>
    </row>
    <row r="49" spans="10:18" x14ac:dyDescent="0.25">
      <c r="J49" s="108">
        <v>5.3</v>
      </c>
      <c r="K49">
        <f t="shared" si="0"/>
        <v>6.6874185279817672E-2</v>
      </c>
      <c r="L49">
        <f t="shared" si="1"/>
        <v>1.904322150700884E-2</v>
      </c>
      <c r="M49">
        <f t="shared" si="2"/>
        <v>6.6874185279817673E-4</v>
      </c>
      <c r="N49">
        <f t="shared" si="3"/>
        <v>1.904322150700884E-2</v>
      </c>
      <c r="P49">
        <f t="shared" si="4"/>
        <v>0.37463460749999999</v>
      </c>
      <c r="Q49">
        <f t="shared" si="5"/>
        <v>335.96594479161598</v>
      </c>
      <c r="R49">
        <f t="shared" si="6"/>
        <v>0.25205363194651736</v>
      </c>
    </row>
    <row r="50" spans="10:18" x14ac:dyDescent="0.25">
      <c r="J50" s="108">
        <v>5.4</v>
      </c>
      <c r="K50">
        <f t="shared" si="0"/>
        <v>6.9421546556051386E-2</v>
      </c>
      <c r="L50">
        <f t="shared" si="1"/>
        <v>1.8899125196276997E-2</v>
      </c>
      <c r="M50">
        <f t="shared" si="2"/>
        <v>6.9421546556051384E-4</v>
      </c>
      <c r="N50">
        <f t="shared" si="3"/>
        <v>1.8899125196276997E-2</v>
      </c>
      <c r="P50">
        <f t="shared" si="4"/>
        <v>0.381703185</v>
      </c>
      <c r="Q50">
        <f t="shared" si="5"/>
        <v>342.3049248820239</v>
      </c>
      <c r="R50">
        <f t="shared" si="6"/>
        <v>0.25065900861995588</v>
      </c>
    </row>
    <row r="51" spans="10:18" x14ac:dyDescent="0.25">
      <c r="J51" s="108">
        <v>5.5</v>
      </c>
      <c r="K51">
        <f t="shared" si="0"/>
        <v>7.2016522061747398E-2</v>
      </c>
      <c r="L51">
        <f t="shared" si="1"/>
        <v>1.8756996183534436E-2</v>
      </c>
      <c r="M51">
        <f t="shared" si="2"/>
        <v>7.2016522061747398E-4</v>
      </c>
      <c r="N51">
        <f t="shared" si="3"/>
        <v>1.8756996183534436E-2</v>
      </c>
      <c r="P51">
        <f t="shared" si="4"/>
        <v>0.38877176250000001</v>
      </c>
      <c r="Q51">
        <f t="shared" si="5"/>
        <v>348.64390497243176</v>
      </c>
      <c r="R51">
        <f t="shared" si="6"/>
        <v>0.24928342561199943</v>
      </c>
    </row>
    <row r="52" spans="10:18" x14ac:dyDescent="0.25">
      <c r="J52" s="108">
        <v>5.6</v>
      </c>
      <c r="K52">
        <f t="shared" si="0"/>
        <v>7.4659111796905722E-2</v>
      </c>
      <c r="L52">
        <f t="shared" si="1"/>
        <v>1.8616785392762032E-2</v>
      </c>
      <c r="M52">
        <f t="shared" si="2"/>
        <v>7.4659111796905727E-4</v>
      </c>
      <c r="N52">
        <f t="shared" si="3"/>
        <v>1.8616785392762032E-2</v>
      </c>
      <c r="P52">
        <f t="shared" si="4"/>
        <v>0.3958403399999999</v>
      </c>
      <c r="Q52">
        <f t="shared" si="5"/>
        <v>354.98288506283956</v>
      </c>
      <c r="R52">
        <f t="shared" si="6"/>
        <v>0.24792640794476214</v>
      </c>
    </row>
    <row r="53" spans="10:18" x14ac:dyDescent="0.25">
      <c r="J53" s="108">
        <v>5.7</v>
      </c>
      <c r="K53">
        <f t="shared" si="0"/>
        <v>7.7349315761526385E-2</v>
      </c>
      <c r="L53">
        <f t="shared" si="1"/>
        <v>1.8478445722133176E-2</v>
      </c>
      <c r="M53">
        <f t="shared" si="2"/>
        <v>7.7349315761526382E-4</v>
      </c>
      <c r="N53">
        <f t="shared" si="3"/>
        <v>1.8478445722133176E-2</v>
      </c>
      <c r="P53">
        <f t="shared" si="4"/>
        <v>0.40290891750000002</v>
      </c>
      <c r="Q53">
        <f t="shared" si="5"/>
        <v>361.32186515324753</v>
      </c>
      <c r="R53">
        <f t="shared" si="6"/>
        <v>0.24658749974740465</v>
      </c>
    </row>
    <row r="54" spans="10:18" x14ac:dyDescent="0.25">
      <c r="J54" s="108">
        <v>5.8</v>
      </c>
      <c r="K54">
        <f t="shared" si="0"/>
        <v>8.0087133955609346E-2</v>
      </c>
      <c r="L54">
        <f t="shared" si="1"/>
        <v>1.8341931932041779E-2</v>
      </c>
      <c r="M54">
        <f t="shared" si="2"/>
        <v>8.0087133955609351E-4</v>
      </c>
      <c r="N54">
        <f t="shared" si="3"/>
        <v>1.8341931932041779E-2</v>
      </c>
      <c r="P54">
        <f t="shared" si="4"/>
        <v>0.40997749499999991</v>
      </c>
      <c r="Q54">
        <f t="shared" si="5"/>
        <v>367.6608452436551</v>
      </c>
      <c r="R54">
        <f t="shared" si="6"/>
        <v>0.24526626317242339</v>
      </c>
    </row>
    <row r="55" spans="10:18" x14ac:dyDescent="0.25">
      <c r="J55" s="108">
        <v>5.9</v>
      </c>
      <c r="K55">
        <f t="shared" si="0"/>
        <v>8.2872566379154619E-2</v>
      </c>
      <c r="L55">
        <f t="shared" si="1"/>
        <v>1.8207200541307953E-2</v>
      </c>
      <c r="M55">
        <f t="shared" si="2"/>
        <v>8.2872566379154624E-4</v>
      </c>
      <c r="N55">
        <f t="shared" si="3"/>
        <v>1.8207200541307953E-2</v>
      </c>
      <c r="P55">
        <f t="shared" si="4"/>
        <v>0.41704607250000003</v>
      </c>
      <c r="Q55">
        <f t="shared" si="5"/>
        <v>373.99982533406308</v>
      </c>
      <c r="R55">
        <f t="shared" si="6"/>
        <v>0.2439622773910862</v>
      </c>
    </row>
    <row r="56" spans="10:18" x14ac:dyDescent="0.25">
      <c r="J56" s="108">
        <v>6</v>
      </c>
      <c r="K56">
        <f t="shared" si="0"/>
        <v>8.5705613032162203E-2</v>
      </c>
      <c r="L56">
        <f t="shared" si="1"/>
        <v>1.8074209730834859E-2</v>
      </c>
      <c r="M56">
        <f t="shared" si="2"/>
        <v>8.5705613032162201E-4</v>
      </c>
      <c r="N56">
        <f t="shared" si="3"/>
        <v>1.8074209730834859E-2</v>
      </c>
      <c r="P56">
        <f t="shared" si="4"/>
        <v>0.42411464999999993</v>
      </c>
      <c r="Q56">
        <f t="shared" si="5"/>
        <v>380.33880542447088</v>
      </c>
      <c r="R56">
        <f t="shared" si="6"/>
        <v>0.24267513766098409</v>
      </c>
    </row>
    <row r="57" spans="10:18" x14ac:dyDescent="0.25">
      <c r="J57" s="108">
        <v>6.1</v>
      </c>
      <c r="K57">
        <f t="shared" si="0"/>
        <v>8.8586273914632085E-2</v>
      </c>
      <c r="L57">
        <f t="shared" si="1"/>
        <v>1.7942919254065801E-2</v>
      </c>
      <c r="M57">
        <f t="shared" si="2"/>
        <v>8.8586273914632082E-4</v>
      </c>
      <c r="N57">
        <f t="shared" si="3"/>
        <v>1.7942919254065801E-2</v>
      </c>
      <c r="P57">
        <f t="shared" si="4"/>
        <v>0.43118322749999993</v>
      </c>
      <c r="Q57">
        <f t="shared" si="5"/>
        <v>386.67778551487879</v>
      </c>
      <c r="R57">
        <f t="shared" si="6"/>
        <v>0.24140445445939784</v>
      </c>
    </row>
    <row r="58" spans="10:18" x14ac:dyDescent="0.25">
      <c r="J58" s="108">
        <v>6.2</v>
      </c>
      <c r="K58">
        <f t="shared" si="0"/>
        <v>9.1514549026564321E-2</v>
      </c>
      <c r="L58">
        <f t="shared" si="1"/>
        <v>1.7813290353657335E-2</v>
      </c>
      <c r="M58">
        <f t="shared" si="2"/>
        <v>9.1514549026564321E-4</v>
      </c>
      <c r="N58">
        <f t="shared" si="3"/>
        <v>1.7813290353657335E-2</v>
      </c>
      <c r="P58">
        <f t="shared" si="4"/>
        <v>0.43825180499999999</v>
      </c>
      <c r="Q58">
        <f t="shared" si="5"/>
        <v>393.01676560528665</v>
      </c>
      <c r="R58">
        <f t="shared" si="6"/>
        <v>0.2401498526768262</v>
      </c>
    </row>
    <row r="59" spans="10:18" x14ac:dyDescent="0.25">
      <c r="J59" s="108">
        <v>6.3</v>
      </c>
      <c r="K59">
        <f t="shared" si="0"/>
        <v>9.4490438367958798E-2</v>
      </c>
      <c r="L59">
        <f t="shared" si="1"/>
        <v>1.768528568384297E-2</v>
      </c>
      <c r="M59">
        <f t="shared" si="2"/>
        <v>9.4490438367958798E-4</v>
      </c>
      <c r="N59">
        <f t="shared" si="3"/>
        <v>1.768528568384297E-2</v>
      </c>
      <c r="P59">
        <f t="shared" si="4"/>
        <v>0.44532038249999994</v>
      </c>
      <c r="Q59">
        <f t="shared" si="5"/>
        <v>399.35574569569445</v>
      </c>
      <c r="R59">
        <f t="shared" si="6"/>
        <v>0.23891097086559007</v>
      </c>
    </row>
    <row r="60" spans="10:18" x14ac:dyDescent="0.25">
      <c r="J60" s="108">
        <v>6.4</v>
      </c>
      <c r="K60">
        <f t="shared" si="0"/>
        <v>9.7513941938815671E-2</v>
      </c>
      <c r="L60">
        <f t="shared" si="1"/>
        <v>1.7558869238014228E-2</v>
      </c>
      <c r="M60">
        <f t="shared" si="2"/>
        <v>9.7513941938815677E-4</v>
      </c>
      <c r="N60">
        <f t="shared" si="3"/>
        <v>1.7558869238014228E-2</v>
      </c>
      <c r="P60">
        <f t="shared" si="4"/>
        <v>0.45238896000000001</v>
      </c>
      <c r="Q60">
        <f t="shared" si="5"/>
        <v>405.69472578610231</v>
      </c>
      <c r="R60">
        <f t="shared" si="6"/>
        <v>0.23768746053893183</v>
      </c>
    </row>
    <row r="61" spans="10:18" x14ac:dyDescent="0.25">
      <c r="J61" s="108">
        <v>6.5</v>
      </c>
      <c r="K61">
        <f t="shared" si="0"/>
        <v>0.10058505973913479</v>
      </c>
      <c r="L61">
        <f t="shared" si="1"/>
        <v>1.7434006281091891E-2</v>
      </c>
      <c r="M61">
        <f t="shared" si="2"/>
        <v>1.005850597391348E-3</v>
      </c>
      <c r="N61">
        <f t="shared" si="3"/>
        <v>1.7434006281091891E-2</v>
      </c>
      <c r="P61">
        <f t="shared" si="4"/>
        <v>0.45945753749999996</v>
      </c>
      <c r="Q61">
        <f t="shared" si="5"/>
        <v>412.03370587651023</v>
      </c>
      <c r="R61">
        <f t="shared" si="6"/>
        <v>0.23647898551647695</v>
      </c>
    </row>
    <row r="62" spans="10:18" x14ac:dyDescent="0.25">
      <c r="J62" s="108">
        <v>6.6</v>
      </c>
      <c r="K62">
        <f t="shared" si="0"/>
        <v>0.10370379176891624</v>
      </c>
      <c r="L62">
        <f t="shared" si="1"/>
        <v>1.7310663286301362E-2</v>
      </c>
      <c r="M62">
        <f t="shared" si="2"/>
        <v>1.0370379176891625E-3</v>
      </c>
      <c r="N62">
        <f t="shared" si="3"/>
        <v>1.7310663286301362E-2</v>
      </c>
      <c r="P62">
        <f t="shared" si="4"/>
        <v>0.46652611499999996</v>
      </c>
      <c r="Q62">
        <f t="shared" si="5"/>
        <v>418.37268596691803</v>
      </c>
      <c r="R62">
        <f t="shared" si="6"/>
        <v>0.23528522131231949</v>
      </c>
    </row>
    <row r="63" spans="10:18" x14ac:dyDescent="0.25">
      <c r="J63" s="108">
        <v>6.7</v>
      </c>
      <c r="K63">
        <f t="shared" si="0"/>
        <v>0.10687013802816003</v>
      </c>
      <c r="L63">
        <f t="shared" si="1"/>
        <v>1.7188807876002594E-2</v>
      </c>
      <c r="M63">
        <f t="shared" si="2"/>
        <v>1.0687013802816003E-3</v>
      </c>
      <c r="N63">
        <f t="shared" si="3"/>
        <v>1.7188807876002594E-2</v>
      </c>
      <c r="P63">
        <f t="shared" si="4"/>
        <v>0.47359469249999991</v>
      </c>
      <c r="Q63">
        <f t="shared" si="5"/>
        <v>424.71166605732589</v>
      </c>
      <c r="R63">
        <f t="shared" si="6"/>
        <v>0.2341058545623502</v>
      </c>
    </row>
    <row r="64" spans="10:18" x14ac:dyDescent="0.25">
      <c r="J64" s="108">
        <v>6.8</v>
      </c>
      <c r="K64">
        <f t="shared" si="0"/>
        <v>0.1100840985168661</v>
      </c>
      <c r="L64">
        <f t="shared" si="1"/>
        <v>1.706840876625763E-2</v>
      </c>
      <c r="M64">
        <f t="shared" si="2"/>
        <v>1.1008409851686609E-3</v>
      </c>
      <c r="N64">
        <f t="shared" si="3"/>
        <v>1.706840876625763E-2</v>
      </c>
      <c r="P64">
        <f t="shared" si="4"/>
        <v>0.48066326999999992</v>
      </c>
      <c r="Q64">
        <f t="shared" si="5"/>
        <v>431.05064614773369</v>
      </c>
      <c r="R64">
        <f t="shared" si="6"/>
        <v>0.23294058248775806</v>
      </c>
    </row>
    <row r="65" spans="10:18" x14ac:dyDescent="0.25">
      <c r="J65" s="108">
        <v>6.9</v>
      </c>
      <c r="K65">
        <f t="shared" si="0"/>
        <v>0.11334567323503453</v>
      </c>
      <c r="L65">
        <f t="shared" si="1"/>
        <v>1.6949435714847801E-2</v>
      </c>
      <c r="M65">
        <f t="shared" si="2"/>
        <v>1.1334567323503452E-3</v>
      </c>
      <c r="N65">
        <f t="shared" si="3"/>
        <v>1.6949435714847801E-2</v>
      </c>
      <c r="P65">
        <f t="shared" si="4"/>
        <v>0.48773184750000004</v>
      </c>
      <c r="Q65">
        <f t="shared" si="5"/>
        <v>437.3896262381416</v>
      </c>
      <c r="R65">
        <f t="shared" si="6"/>
        <v>0.23178911239191971</v>
      </c>
    </row>
    <row r="66" spans="10:18" x14ac:dyDescent="0.25">
      <c r="J66" s="108">
        <v>7</v>
      </c>
      <c r="K66">
        <f t="shared" si="0"/>
        <v>0.11665486218266524</v>
      </c>
      <c r="L66">
        <f t="shared" si="1"/>
        <v>1.6831859472478842E-2</v>
      </c>
      <c r="M66">
        <f t="shared" si="2"/>
        <v>1.1665486218266523E-3</v>
      </c>
      <c r="N66">
        <f t="shared" si="3"/>
        <v>1.6831859472478842E-2</v>
      </c>
      <c r="P66">
        <f t="shared" si="4"/>
        <v>0.49480042499999993</v>
      </c>
      <c r="Q66">
        <f t="shared" si="5"/>
        <v>443.72860632854946</v>
      </c>
      <c r="R66">
        <f t="shared" si="6"/>
        <v>0.23065116118814222</v>
      </c>
    </row>
    <row r="67" spans="10:18" x14ac:dyDescent="0.25">
      <c r="J67" s="108">
        <v>7.1</v>
      </c>
      <c r="K67">
        <f t="shared" si="0"/>
        <v>0.12001166535975823</v>
      </c>
      <c r="L67">
        <f t="shared" si="1"/>
        <v>1.6715651736935389E-2</v>
      </c>
      <c r="M67">
        <f t="shared" si="2"/>
        <v>1.2001166535975823E-3</v>
      </c>
      <c r="N67">
        <f t="shared" si="3"/>
        <v>1.6715651736935389E-2</v>
      </c>
      <c r="P67">
        <f t="shared" si="4"/>
        <v>0.50186900249999999</v>
      </c>
      <c r="Q67">
        <f t="shared" si="5"/>
        <v>450.06758641895721</v>
      </c>
      <c r="R67">
        <f t="shared" si="6"/>
        <v>0.22952645495595153</v>
      </c>
    </row>
    <row r="68" spans="10:18" x14ac:dyDescent="0.25">
      <c r="J68" s="108">
        <v>7.2</v>
      </c>
      <c r="K68">
        <f t="shared" si="0"/>
        <v>0.12341608276631359</v>
      </c>
      <c r="L68">
        <f t="shared" si="1"/>
        <v>1.660078510996732E-2</v>
      </c>
      <c r="M68">
        <f t="shared" si="2"/>
        <v>1.2341608276631359E-3</v>
      </c>
      <c r="N68">
        <f t="shared" si="3"/>
        <v>1.660078510996732E-2</v>
      </c>
      <c r="P68">
        <f t="shared" si="4"/>
        <v>0.50893758</v>
      </c>
      <c r="Q68">
        <f t="shared" si="5"/>
        <v>456.40656650936523</v>
      </c>
      <c r="R68">
        <f t="shared" si="6"/>
        <v>0.22841472852382086</v>
      </c>
    </row>
    <row r="69" spans="10:18" x14ac:dyDescent="0.25">
      <c r="J69" s="108">
        <v>7.3</v>
      </c>
      <c r="K69">
        <f t="shared" si="0"/>
        <v>0.1268681144023312</v>
      </c>
      <c r="L69">
        <f t="shared" si="1"/>
        <v>1.6487233056709381E-2</v>
      </c>
      <c r="M69">
        <f t="shared" si="2"/>
        <v>1.268681144023312E-3</v>
      </c>
      <c r="N69">
        <f t="shared" si="3"/>
        <v>1.6487233056709381E-2</v>
      </c>
      <c r="P69">
        <f t="shared" si="4"/>
        <v>0.5160061574999999</v>
      </c>
      <c r="Q69">
        <f t="shared" si="5"/>
        <v>462.74554659977298</v>
      </c>
      <c r="R69">
        <f t="shared" si="6"/>
        <v>0.22731572507641698</v>
      </c>
    </row>
    <row r="70" spans="10:18" x14ac:dyDescent="0.25">
      <c r="J70" s="108">
        <v>7.4</v>
      </c>
      <c r="K70">
        <f t="shared" si="0"/>
        <v>0.13036776026781119</v>
      </c>
      <c r="L70">
        <f t="shared" si="1"/>
        <v>1.6374969867452266E-2</v>
      </c>
      <c r="M70">
        <f t="shared" si="2"/>
        <v>1.3036776026781119E-3</v>
      </c>
      <c r="N70">
        <f t="shared" si="3"/>
        <v>1.6374969867452266E-2</v>
      </c>
      <c r="P70">
        <f t="shared" si="4"/>
        <v>0.5230747349999999</v>
      </c>
      <c r="Q70">
        <f t="shared" si="5"/>
        <v>469.08452669018078</v>
      </c>
      <c r="R70">
        <f t="shared" si="6"/>
        <v>0.22622919578460518</v>
      </c>
    </row>
    <row r="71" spans="10:18" x14ac:dyDescent="0.25">
      <c r="J71" s="108">
        <v>7.5</v>
      </c>
      <c r="K71">
        <f t="shared" ref="K71:K102" si="7">K$3*J71^2/1000/9.80665/G$4</f>
        <v>0.13391502036275343</v>
      </c>
      <c r="L71">
        <f t="shared" ref="L71:L102" si="8">COS(F$6*3.14159/180)*EXP(-F$12*K71^0.3333)</f>
        <v>1.6263970621598976E-2</v>
      </c>
      <c r="M71">
        <f t="shared" ref="M71:M134" si="9">F$1/2*K71</f>
        <v>1.3391502036275344E-3</v>
      </c>
      <c r="N71">
        <f t="shared" ref="N71:N102" si="10">IF(K71&gt;F$9,M71,L71)</f>
        <v>1.6263970621598976E-2</v>
      </c>
      <c r="P71">
        <f t="shared" ref="P71:P134" si="11">J71*3.14159*G$4^2/4</f>
        <v>0.53014331249999991</v>
      </c>
      <c r="Q71">
        <f t="shared" ref="Q71:Q134" si="12">P71*K$3/K$2/1.205/1000*24*3600</f>
        <v>475.4235067805887</v>
      </c>
      <c r="R71">
        <f t="shared" ref="R71:R134" si="13">(N71*R$1*1000*9.80665+K$3*9.80665*R$1*COS(F$6))/101325</f>
        <v>0.22515489945660402</v>
      </c>
    </row>
    <row r="72" spans="10:18" x14ac:dyDescent="0.25">
      <c r="J72" s="108">
        <v>7.6</v>
      </c>
      <c r="K72">
        <f t="shared" si="7"/>
        <v>0.13750989468715802</v>
      </c>
      <c r="L72">
        <f t="shared" si="8"/>
        <v>1.6154211153653762E-2</v>
      </c>
      <c r="M72">
        <f t="shared" si="9"/>
        <v>1.3750989468715802E-3</v>
      </c>
      <c r="N72">
        <f t="shared" si="10"/>
        <v>1.6154211153653762E-2</v>
      </c>
      <c r="P72">
        <f t="shared" si="11"/>
        <v>0.53721188999999991</v>
      </c>
      <c r="Q72">
        <f t="shared" si="12"/>
        <v>481.76248687099655</v>
      </c>
      <c r="R72">
        <f t="shared" si="13"/>
        <v>0.22409260220881239</v>
      </c>
    </row>
    <row r="73" spans="10:18" x14ac:dyDescent="0.25">
      <c r="J73" s="108">
        <v>7.7</v>
      </c>
      <c r="K73">
        <f t="shared" si="7"/>
        <v>0.14115238324102494</v>
      </c>
      <c r="L73">
        <f t="shared" si="8"/>
        <v>1.6045668021103819E-2</v>
      </c>
      <c r="M73">
        <f t="shared" si="9"/>
        <v>1.4115238324102495E-3</v>
      </c>
      <c r="N73">
        <f t="shared" si="10"/>
        <v>1.6045668021103819E-2</v>
      </c>
      <c r="P73">
        <f t="shared" si="11"/>
        <v>0.54428046749999992</v>
      </c>
      <c r="Q73">
        <f t="shared" si="12"/>
        <v>488.10146696140436</v>
      </c>
      <c r="R73">
        <f t="shared" si="13"/>
        <v>0.22304207715495505</v>
      </c>
    </row>
    <row r="74" spans="10:18" x14ac:dyDescent="0.25">
      <c r="J74" s="108">
        <v>7.8000000000000096</v>
      </c>
      <c r="K74">
        <f t="shared" si="7"/>
        <v>0.14484248602435451</v>
      </c>
      <c r="L74">
        <f t="shared" si="8"/>
        <v>1.593831847406494E-2</v>
      </c>
      <c r="M74">
        <f t="shared" si="9"/>
        <v>1.448424860243545E-3</v>
      </c>
      <c r="N74">
        <f t="shared" si="10"/>
        <v>1.593831847406494E-2</v>
      </c>
      <c r="P74">
        <f t="shared" si="11"/>
        <v>0.5513490450000007</v>
      </c>
      <c r="Q74">
        <f t="shared" si="12"/>
        <v>494.44044705181295</v>
      </c>
      <c r="R74">
        <f t="shared" si="13"/>
        <v>0.2220031041123014</v>
      </c>
    </row>
    <row r="75" spans="10:18" x14ac:dyDescent="0.25">
      <c r="J75" s="108">
        <v>7.9</v>
      </c>
      <c r="K75">
        <f t="shared" si="7"/>
        <v>0.14858020303714564</v>
      </c>
      <c r="L75">
        <f t="shared" si="8"/>
        <v>1.5832140426572997E-2</v>
      </c>
      <c r="M75">
        <f t="shared" si="9"/>
        <v>1.4858020303714565E-3</v>
      </c>
      <c r="N75">
        <f t="shared" si="10"/>
        <v>1.4858020303714565E-3</v>
      </c>
      <c r="P75">
        <f t="shared" si="11"/>
        <v>0.55841762249999993</v>
      </c>
      <c r="Q75">
        <f t="shared" si="12"/>
        <v>500.77942714222002</v>
      </c>
      <c r="R75">
        <f t="shared" si="13"/>
        <v>8.2125709212181305E-2</v>
      </c>
    </row>
    <row r="76" spans="10:18" x14ac:dyDescent="0.25">
      <c r="J76" s="108">
        <v>8</v>
      </c>
      <c r="K76">
        <f t="shared" si="7"/>
        <v>0.15236553427939947</v>
      </c>
      <c r="L76">
        <f t="shared" si="8"/>
        <v>1.572711242941181E-2</v>
      </c>
      <c r="M76">
        <f t="shared" si="9"/>
        <v>1.5236553427939949E-3</v>
      </c>
      <c r="N76">
        <f t="shared" si="10"/>
        <v>1.5236553427939949E-3</v>
      </c>
      <c r="P76">
        <f t="shared" si="11"/>
        <v>0.56548619999999994</v>
      </c>
      <c r="Q76">
        <f t="shared" si="12"/>
        <v>507.11840723262793</v>
      </c>
      <c r="R76">
        <f t="shared" si="13"/>
        <v>8.2492069129544723E-2</v>
      </c>
    </row>
    <row r="77" spans="10:18" x14ac:dyDescent="0.25">
      <c r="J77" s="108">
        <v>8.1000000000000103</v>
      </c>
      <c r="K77">
        <f t="shared" si="7"/>
        <v>0.15619847975111603</v>
      </c>
      <c r="L77">
        <f t="shared" si="8"/>
        <v>1.5623213644377484E-2</v>
      </c>
      <c r="M77">
        <f t="shared" si="9"/>
        <v>1.5619847975111604E-3</v>
      </c>
      <c r="N77">
        <f t="shared" si="10"/>
        <v>1.5619847975111604E-3</v>
      </c>
      <c r="P77">
        <f t="shared" si="11"/>
        <v>0.57255477750000072</v>
      </c>
      <c r="Q77">
        <f t="shared" si="12"/>
        <v>513.45738732303653</v>
      </c>
      <c r="R77">
        <f t="shared" si="13"/>
        <v>8.2863037347755533E-2</v>
      </c>
    </row>
    <row r="78" spans="10:18" x14ac:dyDescent="0.25">
      <c r="J78" s="108">
        <v>8.2000000000000099</v>
      </c>
      <c r="K78">
        <f t="shared" si="7"/>
        <v>0.16007903945229446</v>
      </c>
      <c r="L78">
        <f t="shared" si="8"/>
        <v>1.5520423819885965E-2</v>
      </c>
      <c r="M78">
        <f t="shared" si="9"/>
        <v>1.6007903945229446E-3</v>
      </c>
      <c r="N78">
        <f t="shared" si="10"/>
        <v>1.6007903945229446E-3</v>
      </c>
      <c r="P78">
        <f t="shared" si="11"/>
        <v>0.57962335500000073</v>
      </c>
      <c r="Q78">
        <f t="shared" si="12"/>
        <v>519.79636741344439</v>
      </c>
      <c r="R78">
        <f t="shared" si="13"/>
        <v>8.3238613866813624E-2</v>
      </c>
    </row>
    <row r="79" spans="10:18" x14ac:dyDescent="0.25">
      <c r="J79" s="108">
        <v>8.3000000000000096</v>
      </c>
      <c r="K79">
        <f t="shared" si="7"/>
        <v>0.16400721338293522</v>
      </c>
      <c r="L79">
        <f t="shared" si="8"/>
        <v>1.541872326783823E-2</v>
      </c>
      <c r="M79">
        <f t="shared" si="9"/>
        <v>1.6400721338293523E-3</v>
      </c>
      <c r="N79">
        <f t="shared" si="10"/>
        <v>1.6400721338293523E-3</v>
      </c>
      <c r="P79">
        <f t="shared" si="11"/>
        <v>0.58669193250000062</v>
      </c>
      <c r="Q79">
        <f t="shared" si="12"/>
        <v>526.13534750385202</v>
      </c>
      <c r="R79">
        <f t="shared" si="13"/>
        <v>8.3618798686719051E-2</v>
      </c>
    </row>
    <row r="80" spans="10:18" x14ac:dyDescent="0.25">
      <c r="J80" s="108">
        <v>8.4</v>
      </c>
      <c r="K80">
        <f t="shared" si="7"/>
        <v>0.16798300154303791</v>
      </c>
      <c r="L80">
        <f t="shared" si="8"/>
        <v>1.531809284166399E-2</v>
      </c>
      <c r="M80">
        <f t="shared" si="9"/>
        <v>1.6798300154303792E-3</v>
      </c>
      <c r="N80">
        <f t="shared" si="10"/>
        <v>1.6798300154303792E-3</v>
      </c>
      <c r="P80">
        <f t="shared" si="11"/>
        <v>0.59376050999999996</v>
      </c>
      <c r="Q80">
        <f t="shared" si="12"/>
        <v>532.47432759425931</v>
      </c>
      <c r="R80">
        <f t="shared" si="13"/>
        <v>8.40035918074718E-2</v>
      </c>
    </row>
    <row r="81" spans="10:18" x14ac:dyDescent="0.25">
      <c r="J81" s="108">
        <v>8.5000000000000107</v>
      </c>
      <c r="K81">
        <f t="shared" si="7"/>
        <v>0.17200640393260375</v>
      </c>
      <c r="L81">
        <f t="shared" si="8"/>
        <v>1.5218513915470295E-2</v>
      </c>
      <c r="M81">
        <f t="shared" si="9"/>
        <v>1.7200640393260375E-3</v>
      </c>
      <c r="N81">
        <f t="shared" si="10"/>
        <v>1.7200640393260375E-3</v>
      </c>
      <c r="P81">
        <f t="shared" si="11"/>
        <v>0.60082908750000064</v>
      </c>
      <c r="Q81">
        <f t="shared" si="12"/>
        <v>538.81330768466785</v>
      </c>
      <c r="R81">
        <f t="shared" si="13"/>
        <v>8.4392993229071941E-2</v>
      </c>
    </row>
    <row r="82" spans="10:18" x14ac:dyDescent="0.25">
      <c r="J82" s="108">
        <v>8.6000000000000103</v>
      </c>
      <c r="K82">
        <f t="shared" si="7"/>
        <v>0.17607742055163145</v>
      </c>
      <c r="L82">
        <f t="shared" si="8"/>
        <v>1.5119968364227302E-2</v>
      </c>
      <c r="M82">
        <f t="shared" si="9"/>
        <v>1.7607742055163146E-3</v>
      </c>
      <c r="N82">
        <f t="shared" si="10"/>
        <v>1.7607742055163146E-3</v>
      </c>
      <c r="P82">
        <f t="shared" si="11"/>
        <v>0.60789766500000064</v>
      </c>
      <c r="Q82">
        <f t="shared" si="12"/>
        <v>545.15228777507559</v>
      </c>
      <c r="R82">
        <f t="shared" si="13"/>
        <v>8.4787002951519405E-2</v>
      </c>
    </row>
    <row r="83" spans="10:18" x14ac:dyDescent="0.25">
      <c r="J83" s="108">
        <v>8.7000000000000099</v>
      </c>
      <c r="K83">
        <f t="shared" si="7"/>
        <v>0.18019605140012143</v>
      </c>
      <c r="L83">
        <f t="shared" si="8"/>
        <v>1.5022438544927784E-2</v>
      </c>
      <c r="M83">
        <f t="shared" si="9"/>
        <v>1.8019605140012144E-3</v>
      </c>
      <c r="N83">
        <f t="shared" si="10"/>
        <v>1.8019605140012144E-3</v>
      </c>
      <c r="P83">
        <f t="shared" si="11"/>
        <v>0.61496624250000065</v>
      </c>
      <c r="Q83">
        <f t="shared" si="12"/>
        <v>551.49126786548345</v>
      </c>
      <c r="R83">
        <f t="shared" si="13"/>
        <v>8.5185620974814177E-2</v>
      </c>
    </row>
    <row r="84" spans="10:18" x14ac:dyDescent="0.25">
      <c r="J84" s="108">
        <v>8.8000000000000096</v>
      </c>
      <c r="K84">
        <f t="shared" si="7"/>
        <v>0.18436229647807373</v>
      </c>
      <c r="L84">
        <f t="shared" si="8"/>
        <v>1.4925907278662177E-2</v>
      </c>
      <c r="M84">
        <f t="shared" si="9"/>
        <v>1.8436229647807373E-3</v>
      </c>
      <c r="N84">
        <f t="shared" si="10"/>
        <v>1.8436229647807373E-3</v>
      </c>
      <c r="P84">
        <f t="shared" si="11"/>
        <v>0.62203482000000065</v>
      </c>
      <c r="Q84">
        <f t="shared" si="12"/>
        <v>557.83024795589131</v>
      </c>
      <c r="R84">
        <f t="shared" si="13"/>
        <v>8.5588847298956314E-2</v>
      </c>
    </row>
    <row r="85" spans="10:18" x14ac:dyDescent="0.25">
      <c r="J85" s="108">
        <v>8.9000000000000092</v>
      </c>
      <c r="K85">
        <f t="shared" si="7"/>
        <v>0.18857615578548836</v>
      </c>
      <c r="L85">
        <f t="shared" si="8"/>
        <v>1.4830357833554544E-2</v>
      </c>
      <c r="M85">
        <f t="shared" si="9"/>
        <v>1.8857615578548837E-3</v>
      </c>
      <c r="N85">
        <f t="shared" si="10"/>
        <v>1.8857615578548837E-3</v>
      </c>
      <c r="P85">
        <f t="shared" si="11"/>
        <v>0.62910339750000066</v>
      </c>
      <c r="Q85">
        <f t="shared" si="12"/>
        <v>564.16922804629917</v>
      </c>
      <c r="R85">
        <f t="shared" si="13"/>
        <v>8.5996681923945772E-2</v>
      </c>
    </row>
    <row r="86" spans="10:18" x14ac:dyDescent="0.25">
      <c r="J86" s="108">
        <v>9.0000000000000107</v>
      </c>
      <c r="K86">
        <f t="shared" si="7"/>
        <v>0.19283762932236545</v>
      </c>
      <c r="L86">
        <f t="shared" si="8"/>
        <v>1.4735773908508941E-2</v>
      </c>
      <c r="M86">
        <f t="shared" si="9"/>
        <v>1.9283762932236547E-3</v>
      </c>
      <c r="N86">
        <f t="shared" si="10"/>
        <v>1.9283762932236547E-3</v>
      </c>
      <c r="P86">
        <f t="shared" si="11"/>
        <v>0.63617197500000067</v>
      </c>
      <c r="Q86">
        <f t="shared" si="12"/>
        <v>570.50820813670703</v>
      </c>
      <c r="R86">
        <f t="shared" si="13"/>
        <v>8.6409124849782595E-2</v>
      </c>
    </row>
    <row r="87" spans="10:18" x14ac:dyDescent="0.25">
      <c r="J87" s="108">
        <v>9.1000000000000103</v>
      </c>
      <c r="K87">
        <f t="shared" si="7"/>
        <v>0.19714671708870465</v>
      </c>
      <c r="L87">
        <f t="shared" si="8"/>
        <v>1.4642139617719128E-2</v>
      </c>
      <c r="M87">
        <f t="shared" si="9"/>
        <v>1.9714671708870465E-3</v>
      </c>
      <c r="N87">
        <f t="shared" si="10"/>
        <v>1.9714671708870465E-3</v>
      </c>
      <c r="P87">
        <f t="shared" si="11"/>
        <v>0.64324055250000067</v>
      </c>
      <c r="Q87">
        <f t="shared" si="12"/>
        <v>576.847188227115</v>
      </c>
      <c r="R87">
        <f t="shared" si="13"/>
        <v>8.6826176076466741E-2</v>
      </c>
    </row>
    <row r="88" spans="10:18" x14ac:dyDescent="0.25">
      <c r="J88" s="108">
        <v>9.2000000000000099</v>
      </c>
      <c r="K88">
        <f t="shared" si="7"/>
        <v>0.20150341908450622</v>
      </c>
      <c r="L88">
        <f t="shared" si="8"/>
        <v>1.4549439475897648E-2</v>
      </c>
      <c r="M88">
        <f t="shared" si="9"/>
        <v>2.0150341908450622E-3</v>
      </c>
      <c r="N88">
        <f t="shared" si="10"/>
        <v>2.0150341908450622E-3</v>
      </c>
      <c r="P88">
        <f t="shared" si="11"/>
        <v>0.65030913000000057</v>
      </c>
      <c r="Q88">
        <f t="shared" si="12"/>
        <v>583.18616831752263</v>
      </c>
      <c r="R88">
        <f t="shared" si="13"/>
        <v>8.7247835603998222E-2</v>
      </c>
    </row>
    <row r="89" spans="10:18" x14ac:dyDescent="0.25">
      <c r="J89" s="108">
        <v>9.3000000000000096</v>
      </c>
      <c r="K89">
        <f t="shared" si="7"/>
        <v>0.20590773530977013</v>
      </c>
      <c r="L89">
        <f t="shared" si="8"/>
        <v>1.4457658384183539E-2</v>
      </c>
      <c r="M89">
        <f t="shared" si="9"/>
        <v>2.0590773530977016E-3</v>
      </c>
      <c r="N89">
        <f t="shared" si="10"/>
        <v>2.0590773530977016E-3</v>
      </c>
      <c r="P89">
        <f t="shared" si="11"/>
        <v>0.65737770750000057</v>
      </c>
      <c r="Q89">
        <f t="shared" si="12"/>
        <v>589.52514840793049</v>
      </c>
      <c r="R89">
        <f t="shared" si="13"/>
        <v>8.767410343237704E-2</v>
      </c>
    </row>
    <row r="90" spans="10:18" x14ac:dyDescent="0.25">
      <c r="J90" s="108">
        <v>9.4000000000000092</v>
      </c>
      <c r="K90">
        <f t="shared" si="7"/>
        <v>0.21035966576449627</v>
      </c>
      <c r="L90">
        <f t="shared" si="8"/>
        <v>1.4366781616690407E-2</v>
      </c>
      <c r="M90">
        <f t="shared" si="9"/>
        <v>2.1035966576449629E-3</v>
      </c>
      <c r="N90">
        <f t="shared" si="10"/>
        <v>2.1035966576449629E-3</v>
      </c>
      <c r="P90">
        <f t="shared" si="11"/>
        <v>0.66444628500000058</v>
      </c>
      <c r="Q90">
        <f t="shared" si="12"/>
        <v>595.86412849833846</v>
      </c>
      <c r="R90">
        <f t="shared" si="13"/>
        <v>8.8104979561603194E-2</v>
      </c>
    </row>
    <row r="91" spans="10:18" x14ac:dyDescent="0.25">
      <c r="J91" s="108">
        <v>9.5000000000000107</v>
      </c>
      <c r="K91">
        <f t="shared" si="7"/>
        <v>0.21485921044868489</v>
      </c>
      <c r="L91">
        <f t="shared" si="8"/>
        <v>1.4276794807659299E-2</v>
      </c>
      <c r="M91">
        <f t="shared" si="9"/>
        <v>2.1485921044868488E-3</v>
      </c>
      <c r="N91">
        <f t="shared" si="10"/>
        <v>2.1485921044868488E-3</v>
      </c>
      <c r="P91">
        <f t="shared" si="11"/>
        <v>0.6715148625000007</v>
      </c>
      <c r="Q91">
        <f t="shared" si="12"/>
        <v>602.20310858874632</v>
      </c>
      <c r="R91">
        <f t="shared" si="13"/>
        <v>8.8540463991676713E-2</v>
      </c>
    </row>
    <row r="92" spans="10:18" x14ac:dyDescent="0.25">
      <c r="J92" s="108">
        <v>9.6000000000000103</v>
      </c>
      <c r="K92">
        <f t="shared" si="7"/>
        <v>0.21940636936233568</v>
      </c>
      <c r="L92">
        <f t="shared" si="8"/>
        <v>1.4187683939183108E-2</v>
      </c>
      <c r="M92">
        <f t="shared" si="9"/>
        <v>2.1940636936233567E-3</v>
      </c>
      <c r="N92">
        <f t="shared" si="10"/>
        <v>2.1940636936233567E-3</v>
      </c>
      <c r="P92">
        <f t="shared" si="11"/>
        <v>0.6785834400000007</v>
      </c>
      <c r="Q92">
        <f t="shared" si="12"/>
        <v>608.54208867915418</v>
      </c>
      <c r="R92">
        <f t="shared" si="13"/>
        <v>8.898055672259754E-2</v>
      </c>
    </row>
    <row r="93" spans="10:18" x14ac:dyDescent="0.25">
      <c r="J93" s="108">
        <v>9.7000000000000099</v>
      </c>
      <c r="K93">
        <f t="shared" si="7"/>
        <v>0.22400114250544881</v>
      </c>
      <c r="L93">
        <f t="shared" si="8"/>
        <v>1.4099435329471307E-2</v>
      </c>
      <c r="M93">
        <f t="shared" si="9"/>
        <v>2.2400114250544882E-3</v>
      </c>
      <c r="N93">
        <f t="shared" si="10"/>
        <v>2.2400114250544882E-3</v>
      </c>
      <c r="P93">
        <f t="shared" si="11"/>
        <v>0.6856520175000006</v>
      </c>
      <c r="Q93">
        <f t="shared" si="12"/>
        <v>614.88106876956203</v>
      </c>
      <c r="R93">
        <f t="shared" si="13"/>
        <v>8.9425257754365717E-2</v>
      </c>
    </row>
    <row r="94" spans="10:18" x14ac:dyDescent="0.25">
      <c r="J94" s="108">
        <v>9.8000000000000096</v>
      </c>
      <c r="K94">
        <f t="shared" si="7"/>
        <v>0.22864352987802428</v>
      </c>
      <c r="L94">
        <f t="shared" si="8"/>
        <v>1.4012035621626015E-2</v>
      </c>
      <c r="M94">
        <f t="shared" si="9"/>
        <v>2.286435298780243E-3</v>
      </c>
      <c r="N94">
        <f t="shared" si="10"/>
        <v>2.286435298780243E-3</v>
      </c>
      <c r="P94">
        <f t="shared" si="11"/>
        <v>0.69272059500000061</v>
      </c>
      <c r="Q94">
        <f t="shared" si="12"/>
        <v>621.22004885996978</v>
      </c>
      <c r="R94">
        <f t="shared" si="13"/>
        <v>8.987456708698123E-2</v>
      </c>
    </row>
    <row r="95" spans="10:18" x14ac:dyDescent="0.25">
      <c r="J95" s="108">
        <v>9.9000000000000092</v>
      </c>
      <c r="K95">
        <f t="shared" si="7"/>
        <v>0.23333353148006206</v>
      </c>
      <c r="L95">
        <f t="shared" si="8"/>
        <v>1.392547177290201E-2</v>
      </c>
      <c r="M95">
        <f t="shared" si="9"/>
        <v>2.3333353148006207E-3</v>
      </c>
      <c r="N95">
        <f t="shared" si="10"/>
        <v>2.3333353148006207E-3</v>
      </c>
      <c r="P95">
        <f t="shared" si="11"/>
        <v>0.69978917250000061</v>
      </c>
      <c r="Q95">
        <f t="shared" si="12"/>
        <v>627.55902895037764</v>
      </c>
      <c r="R95">
        <f t="shared" si="13"/>
        <v>9.0328484720444094E-2</v>
      </c>
    </row>
    <row r="96" spans="10:18" x14ac:dyDescent="0.25">
      <c r="J96" s="108">
        <v>10</v>
      </c>
      <c r="K96">
        <f t="shared" si="7"/>
        <v>0.23807114731156168</v>
      </c>
      <c r="L96">
        <f t="shared" si="8"/>
        <v>1.3839731044425192E-2</v>
      </c>
      <c r="M96">
        <f t="shared" si="9"/>
        <v>2.3807114731156168E-3</v>
      </c>
      <c r="N96">
        <f t="shared" si="10"/>
        <v>2.3807114731156168E-3</v>
      </c>
      <c r="P96">
        <f t="shared" si="11"/>
        <v>0.70685774999999995</v>
      </c>
      <c r="Q96">
        <f t="shared" si="12"/>
        <v>633.89800904078493</v>
      </c>
      <c r="R96">
        <f t="shared" si="13"/>
        <v>9.0787010654754238E-2</v>
      </c>
    </row>
    <row r="97" spans="10:18" x14ac:dyDescent="0.25">
      <c r="J97" s="108">
        <v>10.1</v>
      </c>
      <c r="K97">
        <f t="shared" si="7"/>
        <v>0.24285637737252402</v>
      </c>
      <c r="L97">
        <f t="shared" si="8"/>
        <v>1.3754800991345524E-2</v>
      </c>
      <c r="M97">
        <f t="shared" si="9"/>
        <v>2.4285637737252405E-3</v>
      </c>
      <c r="N97">
        <f t="shared" si="10"/>
        <v>2.4285637737252405E-3</v>
      </c>
      <c r="P97">
        <f t="shared" si="11"/>
        <v>0.71392632749999996</v>
      </c>
      <c r="Q97">
        <f t="shared" si="12"/>
        <v>640.2369891311929</v>
      </c>
      <c r="R97">
        <f t="shared" si="13"/>
        <v>9.1250144889911761E-2</v>
      </c>
    </row>
    <row r="98" spans="10:18" x14ac:dyDescent="0.25">
      <c r="J98" s="108">
        <v>10.199999999999999</v>
      </c>
      <c r="K98">
        <f t="shared" si="7"/>
        <v>0.24768922166294877</v>
      </c>
      <c r="L98">
        <f t="shared" si="8"/>
        <v>1.3670669453401996E-2</v>
      </c>
      <c r="M98">
        <f t="shared" si="9"/>
        <v>2.4768922166294879E-3</v>
      </c>
      <c r="N98">
        <f t="shared" si="10"/>
        <v>2.4768922166294879E-3</v>
      </c>
      <c r="P98">
        <f t="shared" si="11"/>
        <v>0.72099490499999985</v>
      </c>
      <c r="Q98">
        <f t="shared" si="12"/>
        <v>646.57596922160053</v>
      </c>
      <c r="R98">
        <f t="shared" si="13"/>
        <v>9.1717887425916633E-2</v>
      </c>
    </row>
    <row r="99" spans="10:18" x14ac:dyDescent="0.25">
      <c r="J99" s="108">
        <v>10.3</v>
      </c>
      <c r="K99">
        <f t="shared" si="7"/>
        <v>0.25256968018283582</v>
      </c>
      <c r="L99">
        <f t="shared" si="8"/>
        <v>1.3587324545878453E-2</v>
      </c>
      <c r="M99">
        <f t="shared" si="9"/>
        <v>2.5256968018283581E-3</v>
      </c>
      <c r="N99">
        <f t="shared" si="10"/>
        <v>2.5256968018283581E-3</v>
      </c>
      <c r="P99">
        <f t="shared" si="11"/>
        <v>0.72806348250000008</v>
      </c>
      <c r="Q99">
        <f t="shared" si="12"/>
        <v>652.91494931200862</v>
      </c>
      <c r="R99">
        <f t="shared" si="13"/>
        <v>9.2190238262768856E-2</v>
      </c>
    </row>
    <row r="100" spans="10:18" x14ac:dyDescent="0.25">
      <c r="J100" s="108">
        <v>10.4</v>
      </c>
      <c r="K100">
        <f t="shared" si="7"/>
        <v>0.25749775293218513</v>
      </c>
      <c r="L100">
        <f t="shared" si="8"/>
        <v>1.3504754650930463E-2</v>
      </c>
      <c r="M100">
        <f t="shared" si="9"/>
        <v>2.5749775293218515E-3</v>
      </c>
      <c r="N100">
        <f t="shared" si="10"/>
        <v>2.5749775293218515E-3</v>
      </c>
      <c r="P100">
        <f t="shared" si="11"/>
        <v>0.73513205999999998</v>
      </c>
      <c r="Q100">
        <f t="shared" si="12"/>
        <v>659.25392940241636</v>
      </c>
      <c r="R100">
        <f t="shared" si="13"/>
        <v>9.2667197400468387E-2</v>
      </c>
    </row>
    <row r="101" spans="10:18" x14ac:dyDescent="0.25">
      <c r="J101" s="108">
        <v>10.5</v>
      </c>
      <c r="K101">
        <f t="shared" si="7"/>
        <v>0.26247343991099675</v>
      </c>
      <c r="L101">
        <f t="shared" si="8"/>
        <v>1.3422948409264628E-2</v>
      </c>
      <c r="M101">
        <f t="shared" si="9"/>
        <v>2.6247343991099674E-3</v>
      </c>
      <c r="N101">
        <f t="shared" si="10"/>
        <v>2.6247343991099674E-3</v>
      </c>
      <c r="P101">
        <f t="shared" si="11"/>
        <v>0.74220063749999987</v>
      </c>
      <c r="Q101">
        <f t="shared" si="12"/>
        <v>665.59290949282399</v>
      </c>
      <c r="R101">
        <f t="shared" si="13"/>
        <v>9.3148764839015283E-2</v>
      </c>
    </row>
    <row r="102" spans="10:18" x14ac:dyDescent="0.25">
      <c r="J102" s="108">
        <v>10.6</v>
      </c>
      <c r="K102">
        <f t="shared" si="7"/>
        <v>0.26749674111927069</v>
      </c>
      <c r="L102">
        <f t="shared" si="8"/>
        <v>1.3341894712152741E-2</v>
      </c>
      <c r="M102">
        <f t="shared" si="9"/>
        <v>2.6749674111927069E-3</v>
      </c>
      <c r="N102">
        <f t="shared" si="10"/>
        <v>2.6749674111927069E-3</v>
      </c>
      <c r="P102">
        <f t="shared" si="11"/>
        <v>0.74926921499999999</v>
      </c>
      <c r="Q102">
        <f t="shared" si="12"/>
        <v>671.93188958323196</v>
      </c>
      <c r="R102">
        <f t="shared" si="13"/>
        <v>9.3634940578409501E-2</v>
      </c>
    </row>
    <row r="103" spans="10:18" x14ac:dyDescent="0.25">
      <c r="J103" s="108">
        <v>10.7</v>
      </c>
      <c r="K103">
        <f t="shared" ref="K103:K166" si="14">K$3*J103^2/1000/9.80665/G$4</f>
        <v>0.27256765655700693</v>
      </c>
      <c r="L103">
        <f t="shared" ref="L103:L166" si="15">COS(F$6*3.14159/180)*EXP(-F$12*K103^0.3333)</f>
        <v>1.3261582693764321E-2</v>
      </c>
      <c r="M103">
        <f t="shared" ref="M103:M166" si="16">F$1/2*K103</f>
        <v>2.7256765655700693E-3</v>
      </c>
      <c r="N103">
        <f t="shared" ref="N103:N166" si="17">IF(K103&gt;F$9,M103,L103)</f>
        <v>2.7256765655700693E-3</v>
      </c>
      <c r="P103">
        <f t="shared" si="11"/>
        <v>0.75633779249999988</v>
      </c>
      <c r="Q103">
        <f t="shared" si="12"/>
        <v>678.27086967363982</v>
      </c>
      <c r="R103">
        <f t="shared" si="13"/>
        <v>9.4125724618651069E-2</v>
      </c>
    </row>
    <row r="104" spans="10:18" x14ac:dyDescent="0.25">
      <c r="J104" s="108">
        <v>10.8</v>
      </c>
      <c r="K104">
        <f t="shared" si="14"/>
        <v>0.27768618622420554</v>
      </c>
      <c r="L104">
        <f t="shared" si="15"/>
        <v>1.3182001723801958E-2</v>
      </c>
      <c r="M104">
        <f t="shared" si="16"/>
        <v>2.7768618622420554E-3</v>
      </c>
      <c r="N104">
        <f t="shared" si="17"/>
        <v>2.7768618622420554E-3</v>
      </c>
      <c r="P104">
        <f t="shared" si="11"/>
        <v>0.76340637</v>
      </c>
      <c r="Q104">
        <f t="shared" si="12"/>
        <v>684.60984976404779</v>
      </c>
      <c r="R104">
        <f t="shared" si="13"/>
        <v>9.4621116959739973E-2</v>
      </c>
    </row>
    <row r="105" spans="10:18" x14ac:dyDescent="0.25">
      <c r="J105" s="108">
        <v>10.9</v>
      </c>
      <c r="K105">
        <f t="shared" si="14"/>
        <v>0.28285233012086647</v>
      </c>
      <c r="L105">
        <f t="shared" si="15"/>
        <v>1.3103141400424829E-2</v>
      </c>
      <c r="M105">
        <f t="shared" si="16"/>
        <v>2.8285233012086647E-3</v>
      </c>
      <c r="N105">
        <f t="shared" si="17"/>
        <v>2.8285233012086647E-3</v>
      </c>
      <c r="P105">
        <f t="shared" si="11"/>
        <v>0.7704749474999999</v>
      </c>
      <c r="Q105">
        <f t="shared" si="12"/>
        <v>690.94882985445554</v>
      </c>
      <c r="R105">
        <f t="shared" si="13"/>
        <v>9.51211176016762E-2</v>
      </c>
    </row>
    <row r="106" spans="10:18" x14ac:dyDescent="0.25">
      <c r="J106" s="108">
        <v>11</v>
      </c>
      <c r="K106">
        <f t="shared" si="14"/>
        <v>0.28806608824698959</v>
      </c>
      <c r="L106">
        <f t="shared" si="15"/>
        <v>1.3024991543446565E-2</v>
      </c>
      <c r="M106">
        <f t="shared" si="16"/>
        <v>2.8806608824698959E-3</v>
      </c>
      <c r="N106">
        <f t="shared" si="17"/>
        <v>2.8806608824698959E-3</v>
      </c>
      <c r="P106">
        <f t="shared" si="11"/>
        <v>0.77754352500000001</v>
      </c>
      <c r="Q106">
        <f t="shared" si="12"/>
        <v>697.28780994486351</v>
      </c>
      <c r="R106">
        <f t="shared" si="13"/>
        <v>9.5625726544459777E-2</v>
      </c>
    </row>
    <row r="107" spans="10:18" x14ac:dyDescent="0.25">
      <c r="J107" s="108">
        <v>11.1</v>
      </c>
      <c r="K107">
        <f t="shared" si="14"/>
        <v>0.29332746060257514</v>
      </c>
      <c r="L107">
        <f t="shared" si="15"/>
        <v>1.2947542187794432E-2</v>
      </c>
      <c r="M107">
        <f t="shared" si="16"/>
        <v>2.9332746060257513E-3</v>
      </c>
      <c r="N107">
        <f t="shared" si="17"/>
        <v>2.9332746060257513E-3</v>
      </c>
      <c r="P107">
        <f t="shared" si="11"/>
        <v>0.78461210249999991</v>
      </c>
      <c r="Q107">
        <f t="shared" si="12"/>
        <v>703.62679003527114</v>
      </c>
      <c r="R107">
        <f t="shared" si="13"/>
        <v>9.613494378809069E-2</v>
      </c>
    </row>
    <row r="108" spans="10:18" x14ac:dyDescent="0.25">
      <c r="J108" s="108">
        <v>11.2</v>
      </c>
      <c r="K108">
        <f t="shared" si="14"/>
        <v>0.29863644718762289</v>
      </c>
      <c r="L108">
        <f t="shared" si="15"/>
        <v>1.2870783577217567E-2</v>
      </c>
      <c r="M108">
        <f t="shared" si="16"/>
        <v>2.9863644718762291E-3</v>
      </c>
      <c r="N108">
        <f t="shared" si="17"/>
        <v>2.9863644718762291E-3</v>
      </c>
      <c r="P108">
        <f t="shared" si="11"/>
        <v>0.7916806799999998</v>
      </c>
      <c r="Q108">
        <f t="shared" si="12"/>
        <v>709.96577012567911</v>
      </c>
      <c r="R108">
        <f t="shared" si="13"/>
        <v>9.664876933256894E-2</v>
      </c>
    </row>
    <row r="109" spans="10:18" x14ac:dyDescent="0.25">
      <c r="J109" s="108">
        <v>11.3</v>
      </c>
      <c r="K109">
        <f t="shared" si="14"/>
        <v>0.30399304800213311</v>
      </c>
      <c r="L109">
        <f t="shared" si="15"/>
        <v>1.2794706158232574E-2</v>
      </c>
      <c r="M109">
        <f t="shared" si="16"/>
        <v>3.0399304800213314E-3</v>
      </c>
      <c r="N109">
        <f t="shared" si="17"/>
        <v>3.0399304800213314E-3</v>
      </c>
      <c r="P109">
        <f t="shared" si="11"/>
        <v>0.79874925749999992</v>
      </c>
      <c r="Q109">
        <f t="shared" si="12"/>
        <v>716.30475021608686</v>
      </c>
      <c r="R109">
        <f t="shared" si="13"/>
        <v>9.716720317789454E-2</v>
      </c>
    </row>
    <row r="110" spans="10:18" x14ac:dyDescent="0.25">
      <c r="J110" s="108">
        <v>11.4</v>
      </c>
      <c r="K110">
        <f t="shared" si="14"/>
        <v>0.30939726304610554</v>
      </c>
      <c r="L110">
        <f t="shared" si="15"/>
        <v>1.2719300574295597E-2</v>
      </c>
      <c r="M110">
        <f t="shared" si="16"/>
        <v>3.0939726304610553E-3</v>
      </c>
      <c r="N110">
        <f t="shared" si="17"/>
        <v>3.0939726304610553E-3</v>
      </c>
      <c r="P110">
        <f t="shared" si="11"/>
        <v>0.80581783500000004</v>
      </c>
      <c r="Q110">
        <f t="shared" si="12"/>
        <v>722.64373030649506</v>
      </c>
      <c r="R110">
        <f t="shared" si="13"/>
        <v>9.7690245324067476E-2</v>
      </c>
    </row>
    <row r="111" spans="10:18" x14ac:dyDescent="0.25">
      <c r="J111" s="108">
        <v>11.5</v>
      </c>
      <c r="K111">
        <f t="shared" si="14"/>
        <v>0.31484909231954034</v>
      </c>
      <c r="L111">
        <f t="shared" si="15"/>
        <v>1.2644557660190408E-2</v>
      </c>
      <c r="M111">
        <f t="shared" si="16"/>
        <v>3.1484909231954033E-3</v>
      </c>
      <c r="N111">
        <f t="shared" si="17"/>
        <v>3.1484909231954033E-3</v>
      </c>
      <c r="P111">
        <f t="shared" si="11"/>
        <v>0.81288641249999993</v>
      </c>
      <c r="Q111">
        <f t="shared" si="12"/>
        <v>728.98271039690258</v>
      </c>
      <c r="R111">
        <f t="shared" si="13"/>
        <v>9.8217895771087763E-2</v>
      </c>
    </row>
    <row r="112" spans="10:18" x14ac:dyDescent="0.25">
      <c r="J112" s="108">
        <v>11.6</v>
      </c>
      <c r="K112">
        <f t="shared" si="14"/>
        <v>0.32034853582243739</v>
      </c>
      <c r="L112">
        <f t="shared" si="15"/>
        <v>1.2570468436622793E-2</v>
      </c>
      <c r="M112">
        <f t="shared" si="16"/>
        <v>3.203485358224374E-3</v>
      </c>
      <c r="N112">
        <f t="shared" si="17"/>
        <v>3.203485358224374E-3</v>
      </c>
      <c r="P112">
        <f t="shared" si="11"/>
        <v>0.81995498999999983</v>
      </c>
      <c r="Q112">
        <f t="shared" si="12"/>
        <v>735.32169048731021</v>
      </c>
      <c r="R112">
        <f t="shared" si="13"/>
        <v>9.8750154518955358E-2</v>
      </c>
    </row>
    <row r="113" spans="10:18" x14ac:dyDescent="0.25">
      <c r="J113" s="108">
        <v>11.7</v>
      </c>
      <c r="K113">
        <f t="shared" si="14"/>
        <v>0.32589559355479675</v>
      </c>
      <c r="L113">
        <f t="shared" si="15"/>
        <v>1.2497024105011821E-2</v>
      </c>
      <c r="M113">
        <f t="shared" si="16"/>
        <v>3.2589559355479677E-3</v>
      </c>
      <c r="N113">
        <f t="shared" si="17"/>
        <v>3.2589559355479677E-3</v>
      </c>
      <c r="P113">
        <f t="shared" si="11"/>
        <v>0.82702356749999995</v>
      </c>
      <c r="Q113">
        <f t="shared" si="12"/>
        <v>741.66067057771841</v>
      </c>
      <c r="R113">
        <f t="shared" si="13"/>
        <v>9.9287021567670303E-2</v>
      </c>
    </row>
    <row r="114" spans="10:18" x14ac:dyDescent="0.25">
      <c r="J114" s="108">
        <v>11.8</v>
      </c>
      <c r="K114">
        <f t="shared" si="14"/>
        <v>0.33149026551661848</v>
      </c>
      <c r="L114">
        <f t="shared" si="15"/>
        <v>1.2424216042469325E-2</v>
      </c>
      <c r="M114">
        <f t="shared" si="16"/>
        <v>3.314902655166185E-3</v>
      </c>
      <c r="N114">
        <f t="shared" si="17"/>
        <v>3.314902655166185E-3</v>
      </c>
      <c r="P114">
        <f t="shared" si="11"/>
        <v>0.83409214500000006</v>
      </c>
      <c r="Q114">
        <f t="shared" si="12"/>
        <v>747.99965066812615</v>
      </c>
      <c r="R114">
        <f t="shared" si="13"/>
        <v>9.9828496917232598E-2</v>
      </c>
    </row>
    <row r="115" spans="10:18" x14ac:dyDescent="0.25">
      <c r="J115" s="108">
        <v>11.9</v>
      </c>
      <c r="K115">
        <f t="shared" si="14"/>
        <v>0.33713255170790252</v>
      </c>
      <c r="L115">
        <f t="shared" si="15"/>
        <v>1.2352035796959204E-2</v>
      </c>
      <c r="M115">
        <f t="shared" si="16"/>
        <v>3.3713255170790251E-3</v>
      </c>
      <c r="N115">
        <f t="shared" si="17"/>
        <v>3.3713255170790251E-3</v>
      </c>
      <c r="P115">
        <f t="shared" si="11"/>
        <v>0.84116072249999996</v>
      </c>
      <c r="Q115">
        <f t="shared" si="12"/>
        <v>754.33863075853401</v>
      </c>
      <c r="R115">
        <f t="shared" si="13"/>
        <v>0.10037458056764223</v>
      </c>
    </row>
    <row r="116" spans="10:18" x14ac:dyDescent="0.25">
      <c r="J116" s="108">
        <v>12</v>
      </c>
      <c r="K116">
        <f t="shared" si="14"/>
        <v>0.34282245212864881</v>
      </c>
      <c r="L116">
        <f t="shared" si="15"/>
        <v>1.2280475082628663E-2</v>
      </c>
      <c r="M116">
        <f t="shared" si="16"/>
        <v>3.428224521286488E-3</v>
      </c>
      <c r="N116">
        <f t="shared" si="17"/>
        <v>3.428224521286488E-3</v>
      </c>
      <c r="P116">
        <f t="shared" si="11"/>
        <v>0.84822929999999985</v>
      </c>
      <c r="Q116">
        <f t="shared" si="12"/>
        <v>760.67761084894175</v>
      </c>
      <c r="R116">
        <f t="shared" si="13"/>
        <v>0.10092527251889918</v>
      </c>
    </row>
    <row r="117" spans="10:18" x14ac:dyDescent="0.25">
      <c r="J117" s="108">
        <v>12.1</v>
      </c>
      <c r="K117">
        <f t="shared" si="14"/>
        <v>0.34855996677885748</v>
      </c>
      <c r="L117">
        <f t="shared" si="15"/>
        <v>1.2209525775303889E-2</v>
      </c>
      <c r="M117">
        <f t="shared" si="16"/>
        <v>3.4855996677885747E-3</v>
      </c>
      <c r="N117">
        <f t="shared" si="17"/>
        <v>3.4855996677885747E-3</v>
      </c>
      <c r="P117">
        <f t="shared" si="11"/>
        <v>0.85529787749999997</v>
      </c>
      <c r="Q117">
        <f t="shared" si="12"/>
        <v>767.01659093934984</v>
      </c>
      <c r="R117">
        <f t="shared" si="13"/>
        <v>0.1014805727710035</v>
      </c>
    </row>
    <row r="118" spans="10:18" x14ac:dyDescent="0.25">
      <c r="J118" s="108">
        <v>12.2</v>
      </c>
      <c r="K118">
        <f t="shared" si="14"/>
        <v>0.35434509565852834</v>
      </c>
      <c r="L118">
        <f t="shared" si="15"/>
        <v>1.2139179908143123E-2</v>
      </c>
      <c r="M118">
        <f t="shared" si="16"/>
        <v>3.5434509565852833E-3</v>
      </c>
      <c r="N118">
        <f t="shared" si="17"/>
        <v>3.5434509565852833E-3</v>
      </c>
      <c r="P118">
        <f t="shared" si="11"/>
        <v>0.86236645499999987</v>
      </c>
      <c r="Q118">
        <f t="shared" si="12"/>
        <v>773.35557102975758</v>
      </c>
      <c r="R118">
        <f t="shared" si="13"/>
        <v>0.10204048132395512</v>
      </c>
    </row>
    <row r="119" spans="10:18" x14ac:dyDescent="0.25">
      <c r="J119" s="108">
        <v>12.3</v>
      </c>
      <c r="K119">
        <f t="shared" si="14"/>
        <v>0.36017783876766174</v>
      </c>
      <c r="L119">
        <f t="shared" si="15"/>
        <v>1.2069429667440295E-2</v>
      </c>
      <c r="M119">
        <f t="shared" si="16"/>
        <v>3.6017783876766173E-3</v>
      </c>
      <c r="N119">
        <f t="shared" si="17"/>
        <v>3.6017783876766173E-3</v>
      </c>
      <c r="P119">
        <f t="shared" si="11"/>
        <v>0.86943503249999998</v>
      </c>
      <c r="Q119">
        <f t="shared" si="12"/>
        <v>779.69455112016533</v>
      </c>
      <c r="R119">
        <f t="shared" si="13"/>
        <v>0.10260499817775412</v>
      </c>
    </row>
    <row r="120" spans="10:18" x14ac:dyDescent="0.25">
      <c r="J120" s="108">
        <v>12.4</v>
      </c>
      <c r="K120">
        <f t="shared" si="14"/>
        <v>0.36605819610625728</v>
      </c>
      <c r="L120">
        <f t="shared" si="15"/>
        <v>1.2000267388572948E-2</v>
      </c>
      <c r="M120">
        <f t="shared" si="16"/>
        <v>3.6605819610625728E-3</v>
      </c>
      <c r="N120">
        <f t="shared" si="17"/>
        <v>3.6605819610625728E-3</v>
      </c>
      <c r="P120">
        <f t="shared" si="11"/>
        <v>0.87650360999999999</v>
      </c>
      <c r="Q120">
        <f t="shared" si="12"/>
        <v>786.0335312105733</v>
      </c>
      <c r="R120">
        <f t="shared" si="13"/>
        <v>0.10317412333240043</v>
      </c>
    </row>
    <row r="121" spans="10:18" x14ac:dyDescent="0.25">
      <c r="J121" s="108">
        <v>12.5</v>
      </c>
      <c r="K121">
        <f t="shared" si="14"/>
        <v>0.37198616767431514</v>
      </c>
      <c r="L121">
        <f t="shared" si="15"/>
        <v>1.1931685552088265E-2</v>
      </c>
      <c r="M121">
        <f t="shared" si="16"/>
        <v>3.7198616767431516E-3</v>
      </c>
      <c r="N121">
        <f t="shared" si="17"/>
        <v>3.7198616767431516E-3</v>
      </c>
      <c r="P121">
        <f t="shared" si="11"/>
        <v>0.88357218749999999</v>
      </c>
      <c r="Q121">
        <f t="shared" si="12"/>
        <v>792.37251130098116</v>
      </c>
      <c r="R121">
        <f t="shared" si="13"/>
        <v>0.1037478567878941</v>
      </c>
    </row>
    <row r="122" spans="10:18" x14ac:dyDescent="0.25">
      <c r="J122" s="108">
        <v>12.6</v>
      </c>
      <c r="K122">
        <f t="shared" si="14"/>
        <v>0.37796175347183519</v>
      </c>
      <c r="L122">
        <f t="shared" si="15"/>
        <v>1.1863676779921476E-2</v>
      </c>
      <c r="M122">
        <f t="shared" si="16"/>
        <v>3.7796175347183519E-3</v>
      </c>
      <c r="N122">
        <f t="shared" si="17"/>
        <v>3.7796175347183519E-3</v>
      </c>
      <c r="P122">
        <f t="shared" si="11"/>
        <v>0.89064076499999989</v>
      </c>
      <c r="Q122">
        <f t="shared" si="12"/>
        <v>798.7114913913889</v>
      </c>
      <c r="R122">
        <f t="shared" si="13"/>
        <v>0.10432619854423508</v>
      </c>
    </row>
    <row r="123" spans="10:18" x14ac:dyDescent="0.25">
      <c r="J123" s="108">
        <v>12.7</v>
      </c>
      <c r="K123">
        <f t="shared" si="14"/>
        <v>0.38398495349881784</v>
      </c>
      <c r="L123">
        <f t="shared" si="15"/>
        <v>1.1796233831741188E-2</v>
      </c>
      <c r="M123">
        <f t="shared" si="16"/>
        <v>3.8398495349881785E-3</v>
      </c>
      <c r="N123">
        <f t="shared" si="17"/>
        <v>3.8398495349881785E-3</v>
      </c>
      <c r="P123">
        <f t="shared" si="11"/>
        <v>0.8977093424999999</v>
      </c>
      <c r="Q123">
        <f t="shared" si="12"/>
        <v>805.05047148179688</v>
      </c>
      <c r="R123">
        <f t="shared" si="13"/>
        <v>0.10490914860142343</v>
      </c>
    </row>
    <row r="124" spans="10:18" x14ac:dyDescent="0.25">
      <c r="J124" s="108">
        <v>12.8</v>
      </c>
      <c r="K124">
        <f t="shared" si="14"/>
        <v>0.39005576775526268</v>
      </c>
      <c r="L124">
        <f t="shared" si="15"/>
        <v>1.1729349601416347E-2</v>
      </c>
      <c r="M124">
        <f t="shared" si="16"/>
        <v>3.9005576775526271E-3</v>
      </c>
      <c r="N124">
        <f t="shared" si="17"/>
        <v>3.9005576775526271E-3</v>
      </c>
      <c r="P124">
        <f t="shared" si="11"/>
        <v>0.90477792000000001</v>
      </c>
      <c r="Q124">
        <f t="shared" si="12"/>
        <v>811.38945157220462</v>
      </c>
      <c r="R124">
        <f t="shared" si="13"/>
        <v>0.10549670695945911</v>
      </c>
    </row>
    <row r="125" spans="10:18" x14ac:dyDescent="0.25">
      <c r="J125" s="108">
        <v>12.9</v>
      </c>
      <c r="K125">
        <f t="shared" si="14"/>
        <v>0.39617419624116973</v>
      </c>
      <c r="L125">
        <f t="shared" si="15"/>
        <v>1.1663017113599933E-2</v>
      </c>
      <c r="M125">
        <f t="shared" si="16"/>
        <v>3.9617419624116976E-3</v>
      </c>
      <c r="N125">
        <f t="shared" si="17"/>
        <v>3.9617419624116976E-3</v>
      </c>
      <c r="P125">
        <f t="shared" si="11"/>
        <v>0.91184649749999991</v>
      </c>
      <c r="Q125">
        <f t="shared" si="12"/>
        <v>817.72843166261259</v>
      </c>
      <c r="R125">
        <f t="shared" si="13"/>
        <v>0.1060888736183421</v>
      </c>
    </row>
    <row r="126" spans="10:18" x14ac:dyDescent="0.25">
      <c r="J126" s="108">
        <v>13</v>
      </c>
      <c r="K126">
        <f t="shared" si="14"/>
        <v>0.40234023895653914</v>
      </c>
      <c r="L126">
        <f t="shared" si="15"/>
        <v>1.1597229520424636E-2</v>
      </c>
      <c r="M126">
        <f t="shared" si="16"/>
        <v>4.0234023895653918E-3</v>
      </c>
      <c r="N126">
        <f t="shared" si="17"/>
        <v>4.0234023895653918E-3</v>
      </c>
      <c r="P126">
        <f t="shared" si="11"/>
        <v>0.91891507499999991</v>
      </c>
      <c r="Q126">
        <f t="shared" si="12"/>
        <v>824.06741175302045</v>
      </c>
      <c r="R126">
        <f t="shared" si="13"/>
        <v>0.10668564857807246</v>
      </c>
    </row>
    <row r="127" spans="10:18" x14ac:dyDescent="0.25">
      <c r="J127" s="108">
        <v>13.1</v>
      </c>
      <c r="K127">
        <f t="shared" si="14"/>
        <v>0.40855389590137098</v>
      </c>
      <c r="L127">
        <f t="shared" si="15"/>
        <v>1.1531980098306012E-2</v>
      </c>
      <c r="M127">
        <f t="shared" si="16"/>
        <v>4.0855389590137101E-3</v>
      </c>
      <c r="N127">
        <f t="shared" si="17"/>
        <v>4.0855389590137101E-3</v>
      </c>
      <c r="P127">
        <f t="shared" si="11"/>
        <v>0.92598365249999992</v>
      </c>
      <c r="Q127">
        <f t="shared" si="12"/>
        <v>830.4063918434282</v>
      </c>
      <c r="R127">
        <f t="shared" si="13"/>
        <v>0.10728703183865015</v>
      </c>
    </row>
    <row r="128" spans="10:18" x14ac:dyDescent="0.25">
      <c r="J128" s="108">
        <v>13.2</v>
      </c>
      <c r="K128">
        <f t="shared" si="14"/>
        <v>0.41481516707566496</v>
      </c>
      <c r="L128">
        <f t="shared" si="15"/>
        <v>1.1467262244848843E-2</v>
      </c>
      <c r="M128">
        <f t="shared" si="16"/>
        <v>4.14815167075665E-3</v>
      </c>
      <c r="N128">
        <f t="shared" si="17"/>
        <v>4.14815167075665E-3</v>
      </c>
      <c r="P128">
        <f t="shared" si="11"/>
        <v>0.93305222999999993</v>
      </c>
      <c r="Q128">
        <f t="shared" si="12"/>
        <v>836.74537193383605</v>
      </c>
      <c r="R128">
        <f t="shared" si="13"/>
        <v>0.10789302340007517</v>
      </c>
    </row>
    <row r="129" spans="10:18" x14ac:dyDescent="0.25">
      <c r="J129" s="108">
        <v>13.3</v>
      </c>
      <c r="K129">
        <f t="shared" si="14"/>
        <v>0.42112405247942142</v>
      </c>
      <c r="L129">
        <f t="shared" si="15"/>
        <v>1.1403069475852588E-2</v>
      </c>
      <c r="M129">
        <f t="shared" si="16"/>
        <v>4.2112405247942139E-3</v>
      </c>
      <c r="N129">
        <f t="shared" si="17"/>
        <v>4.2112405247942139E-3</v>
      </c>
      <c r="P129">
        <f t="shared" si="11"/>
        <v>0.94012080749999993</v>
      </c>
      <c r="Q129">
        <f t="shared" si="12"/>
        <v>843.08435202424403</v>
      </c>
      <c r="R129">
        <f t="shared" si="13"/>
        <v>0.10850362326234755</v>
      </c>
    </row>
    <row r="130" spans="10:18" x14ac:dyDescent="0.25">
      <c r="J130" s="108">
        <v>13.4</v>
      </c>
      <c r="K130">
        <f t="shared" si="14"/>
        <v>0.42748055211264013</v>
      </c>
      <c r="L130">
        <f t="shared" si="15"/>
        <v>1.133939542241212E-2</v>
      </c>
      <c r="M130">
        <f t="shared" si="16"/>
        <v>4.2748055211264012E-3</v>
      </c>
      <c r="N130">
        <f t="shared" si="17"/>
        <v>4.2748055211264012E-3</v>
      </c>
      <c r="P130">
        <f t="shared" si="11"/>
        <v>0.94718938499999983</v>
      </c>
      <c r="Q130">
        <f t="shared" si="12"/>
        <v>849.42333211465177</v>
      </c>
      <c r="R130">
        <f t="shared" si="13"/>
        <v>0.10911883142546724</v>
      </c>
    </row>
    <row r="131" spans="10:18" x14ac:dyDescent="0.25">
      <c r="J131" s="108">
        <v>13.5</v>
      </c>
      <c r="K131">
        <f t="shared" si="14"/>
        <v>0.43388466597532122</v>
      </c>
      <c r="L131">
        <f t="shared" si="15"/>
        <v>1.1276233828109916E-2</v>
      </c>
      <c r="M131">
        <f t="shared" si="16"/>
        <v>4.3388466597532125E-3</v>
      </c>
      <c r="N131">
        <f t="shared" si="17"/>
        <v>4.3388466597532125E-3</v>
      </c>
      <c r="P131">
        <f t="shared" si="11"/>
        <v>0.95425796249999995</v>
      </c>
      <c r="Q131">
        <f t="shared" si="12"/>
        <v>855.76231220505974</v>
      </c>
      <c r="R131">
        <f t="shared" si="13"/>
        <v>0.1097386478894343</v>
      </c>
    </row>
    <row r="132" spans="10:18" x14ac:dyDescent="0.25">
      <c r="J132" s="108">
        <v>13.6</v>
      </c>
      <c r="K132">
        <f t="shared" si="14"/>
        <v>0.44033639406746439</v>
      </c>
      <c r="L132">
        <f t="shared" si="15"/>
        <v>1.1213578546296258E-2</v>
      </c>
      <c r="M132">
        <f t="shared" si="16"/>
        <v>4.4033639406746436E-3</v>
      </c>
      <c r="N132">
        <f t="shared" si="17"/>
        <v>4.4033639406746436E-3</v>
      </c>
      <c r="P132">
        <f t="shared" si="11"/>
        <v>0.96132653999999984</v>
      </c>
      <c r="Q132">
        <f t="shared" si="12"/>
        <v>862.10129229546737</v>
      </c>
      <c r="R132">
        <f t="shared" si="13"/>
        <v>0.11036307265424865</v>
      </c>
    </row>
    <row r="133" spans="10:18" x14ac:dyDescent="0.25">
      <c r="J133" s="108">
        <v>13.7</v>
      </c>
      <c r="K133">
        <f t="shared" si="14"/>
        <v>0.44683573638907009</v>
      </c>
      <c r="L133">
        <f t="shared" si="15"/>
        <v>1.1151423537454002E-2</v>
      </c>
      <c r="M133">
        <f t="shared" si="16"/>
        <v>4.4683573638907006E-3</v>
      </c>
      <c r="N133">
        <f t="shared" si="17"/>
        <v>4.4683573638907006E-3</v>
      </c>
      <c r="P133">
        <f t="shared" si="11"/>
        <v>0.96839511749999985</v>
      </c>
      <c r="Q133">
        <f t="shared" si="12"/>
        <v>868.44027238587535</v>
      </c>
      <c r="R133">
        <f t="shared" si="13"/>
        <v>0.1109921057199104</v>
      </c>
    </row>
    <row r="134" spans="10:18" x14ac:dyDescent="0.25">
      <c r="J134" s="108">
        <v>13.8</v>
      </c>
      <c r="K134">
        <f t="shared" si="14"/>
        <v>0.45338269294013811</v>
      </c>
      <c r="L134">
        <f t="shared" si="15"/>
        <v>1.1089762866644761E-2</v>
      </c>
      <c r="M134">
        <f t="shared" si="16"/>
        <v>4.5338269294013809E-3</v>
      </c>
      <c r="N134">
        <f t="shared" si="17"/>
        <v>4.5338269294013809E-3</v>
      </c>
      <c r="P134">
        <f t="shared" si="11"/>
        <v>0.97546369500000008</v>
      </c>
      <c r="Q134">
        <f t="shared" si="12"/>
        <v>874.7792524762832</v>
      </c>
      <c r="R134">
        <f t="shared" si="13"/>
        <v>0.11162574708641947</v>
      </c>
    </row>
    <row r="135" spans="10:18" x14ac:dyDescent="0.25">
      <c r="J135" s="108">
        <v>13.9</v>
      </c>
      <c r="K135">
        <f t="shared" si="14"/>
        <v>0.45997726372066833</v>
      </c>
      <c r="L135">
        <f t="shared" si="15"/>
        <v>1.1028590701033332E-2</v>
      </c>
      <c r="M135">
        <f t="shared" si="16"/>
        <v>4.5997726372066835E-3</v>
      </c>
      <c r="N135">
        <f t="shared" si="17"/>
        <v>4.5997726372066835E-3</v>
      </c>
      <c r="P135">
        <f t="shared" ref="P135:P198" si="18">J135*3.14159*G$4^2/4</f>
        <v>0.98253227249999997</v>
      </c>
      <c r="Q135">
        <f t="shared" ref="Q135:Q198" si="19">P135*K$3/K$2/1.205/1000*24*3600</f>
        <v>881.11823256669106</v>
      </c>
      <c r="R135">
        <f t="shared" ref="R135:R198" si="20">(N135*R$1*1000*9.80665+K$3*9.80665*R$1*COS(F$6))/101325</f>
        <v>0.11226399675377585</v>
      </c>
    </row>
    <row r="136" spans="10:18" x14ac:dyDescent="0.25">
      <c r="J136" s="108">
        <v>14</v>
      </c>
      <c r="K136">
        <f t="shared" si="14"/>
        <v>0.46661944873066097</v>
      </c>
      <c r="L136">
        <f t="shared" si="15"/>
        <v>1.0967901307487512E-2</v>
      </c>
      <c r="M136">
        <f t="shared" si="16"/>
        <v>4.6661944873066094E-3</v>
      </c>
      <c r="N136">
        <f t="shared" si="17"/>
        <v>4.6661944873066094E-3</v>
      </c>
      <c r="P136">
        <f t="shared" si="18"/>
        <v>0.98960084999999987</v>
      </c>
      <c r="Q136">
        <f t="shared" si="19"/>
        <v>887.45721265709892</v>
      </c>
      <c r="R136">
        <f t="shared" si="20"/>
        <v>0.11290685472197959</v>
      </c>
    </row>
    <row r="137" spans="10:18" x14ac:dyDescent="0.25">
      <c r="J137" s="108">
        <v>14.1</v>
      </c>
      <c r="K137">
        <f t="shared" si="14"/>
        <v>0.47330924797011575</v>
      </c>
      <c r="L137">
        <f t="shared" si="15"/>
        <v>1.0907689050250455E-2</v>
      </c>
      <c r="M137">
        <f t="shared" si="16"/>
        <v>4.7330924797011576E-3</v>
      </c>
      <c r="N137">
        <f t="shared" si="17"/>
        <v>4.7330924797011576E-3</v>
      </c>
      <c r="P137">
        <f t="shared" si="18"/>
        <v>0.99666942749999998</v>
      </c>
      <c r="Q137">
        <f t="shared" si="19"/>
        <v>893.79619274750667</v>
      </c>
      <c r="R137">
        <f t="shared" si="20"/>
        <v>0.11355432099103066</v>
      </c>
    </row>
    <row r="138" spans="10:18" x14ac:dyDescent="0.25">
      <c r="J138" s="108">
        <v>14.2</v>
      </c>
      <c r="K138">
        <f t="shared" si="14"/>
        <v>0.48004666143903291</v>
      </c>
      <c r="L138">
        <f t="shared" si="15"/>
        <v>1.0847948388682829E-2</v>
      </c>
      <c r="M138">
        <f t="shared" si="16"/>
        <v>4.8004666143903292E-3</v>
      </c>
      <c r="N138">
        <f t="shared" si="17"/>
        <v>4.8004666143903292E-3</v>
      </c>
      <c r="P138">
        <f t="shared" si="18"/>
        <v>1.003738005</v>
      </c>
      <c r="Q138">
        <f t="shared" si="19"/>
        <v>900.13517283791441</v>
      </c>
      <c r="R138">
        <f t="shared" si="20"/>
        <v>0.11420639556092907</v>
      </c>
    </row>
    <row r="139" spans="10:18" x14ac:dyDescent="0.25">
      <c r="J139" s="108">
        <v>14.3</v>
      </c>
      <c r="K139">
        <f t="shared" si="14"/>
        <v>0.48683168913741248</v>
      </c>
      <c r="L139">
        <f t="shared" si="15"/>
        <v>1.0788673875072338E-2</v>
      </c>
      <c r="M139">
        <f t="shared" si="16"/>
        <v>4.8683168913741248E-3</v>
      </c>
      <c r="N139">
        <f t="shared" si="17"/>
        <v>4.8683168913741248E-3</v>
      </c>
      <c r="P139">
        <f t="shared" si="18"/>
        <v>1.0108065824999999</v>
      </c>
      <c r="Q139">
        <f t="shared" si="19"/>
        <v>906.47415292832227</v>
      </c>
      <c r="R139">
        <f t="shared" si="20"/>
        <v>0.11486307843167483</v>
      </c>
    </row>
    <row r="140" spans="10:18" x14ac:dyDescent="0.25">
      <c r="J140" s="108">
        <v>14.4</v>
      </c>
      <c r="K140">
        <f t="shared" si="14"/>
        <v>0.49366433106525437</v>
      </c>
      <c r="L140">
        <f t="shared" si="15"/>
        <v>1.0729860152508026E-2</v>
      </c>
      <c r="M140">
        <f t="shared" si="16"/>
        <v>4.9366433106525437E-3</v>
      </c>
      <c r="N140">
        <f t="shared" si="17"/>
        <v>4.9366433106525437E-3</v>
      </c>
      <c r="P140">
        <f t="shared" si="18"/>
        <v>1.01787516</v>
      </c>
      <c r="Q140">
        <f t="shared" si="19"/>
        <v>912.81313301873047</v>
      </c>
      <c r="R140">
        <f t="shared" si="20"/>
        <v>0.11552436960326794</v>
      </c>
    </row>
    <row r="141" spans="10:18" x14ac:dyDescent="0.25">
      <c r="J141" s="108">
        <v>14.5</v>
      </c>
      <c r="K141">
        <f t="shared" si="14"/>
        <v>0.50054458722255846</v>
      </c>
      <c r="L141">
        <f t="shared" si="15"/>
        <v>1.067150195281706E-2</v>
      </c>
      <c r="M141">
        <f t="shared" si="16"/>
        <v>5.005445872225585E-3</v>
      </c>
      <c r="N141">
        <f t="shared" si="17"/>
        <v>5.005445872225585E-3</v>
      </c>
      <c r="P141">
        <f t="shared" si="18"/>
        <v>1.0249437374999999</v>
      </c>
      <c r="Q141">
        <f t="shared" si="19"/>
        <v>919.15211310913799</v>
      </c>
      <c r="R141">
        <f t="shared" si="20"/>
        <v>0.11619026907570836</v>
      </c>
    </row>
    <row r="142" spans="10:18" x14ac:dyDescent="0.25">
      <c r="J142" s="108">
        <v>14.6</v>
      </c>
      <c r="K142">
        <f t="shared" si="14"/>
        <v>0.5074724576093248</v>
      </c>
      <c r="L142">
        <f t="shared" si="15"/>
        <v>1.0613594094561744E-2</v>
      </c>
      <c r="M142">
        <f t="shared" si="16"/>
        <v>5.0747245760932478E-3</v>
      </c>
      <c r="N142">
        <f t="shared" si="17"/>
        <v>5.0747245760932478E-3</v>
      </c>
      <c r="P142">
        <f t="shared" si="18"/>
        <v>1.0320123149999998</v>
      </c>
      <c r="Q142">
        <f t="shared" si="19"/>
        <v>925.49109319954596</v>
      </c>
      <c r="R142">
        <f t="shared" si="20"/>
        <v>0.11686077684899612</v>
      </c>
    </row>
    <row r="143" spans="10:18" x14ac:dyDescent="0.25">
      <c r="J143" s="108">
        <v>14.7</v>
      </c>
      <c r="K143">
        <f t="shared" si="14"/>
        <v>0.51444794222555357</v>
      </c>
      <c r="L143">
        <f t="shared" si="15"/>
        <v>1.0556131481094626E-2</v>
      </c>
      <c r="M143">
        <f t="shared" si="16"/>
        <v>5.1444794222555356E-3</v>
      </c>
      <c r="N143">
        <f t="shared" si="17"/>
        <v>5.1444794222555356E-3</v>
      </c>
      <c r="P143">
        <f t="shared" si="18"/>
        <v>1.0390808924999999</v>
      </c>
      <c r="Q143">
        <f t="shared" si="19"/>
        <v>931.83007328995382</v>
      </c>
      <c r="R143">
        <f t="shared" si="20"/>
        <v>0.11753589292313121</v>
      </c>
    </row>
    <row r="144" spans="10:18" x14ac:dyDescent="0.25">
      <c r="J144" s="108">
        <v>14.8</v>
      </c>
      <c r="K144">
        <f t="shared" si="14"/>
        <v>0.52147104107124476</v>
      </c>
      <c r="L144">
        <f t="shared" si="15"/>
        <v>1.0499109098669586E-2</v>
      </c>
      <c r="M144">
        <f t="shared" si="16"/>
        <v>5.2147104107124476E-3</v>
      </c>
      <c r="N144">
        <f t="shared" si="17"/>
        <v>5.2147104107124476E-3</v>
      </c>
      <c r="P144">
        <f t="shared" si="18"/>
        <v>1.0461494699999998</v>
      </c>
      <c r="Q144">
        <f t="shared" si="19"/>
        <v>938.16905338036156</v>
      </c>
      <c r="R144">
        <f t="shared" si="20"/>
        <v>0.11821561729811368</v>
      </c>
    </row>
    <row r="145" spans="10:18" x14ac:dyDescent="0.25">
      <c r="J145" s="108">
        <v>14.9</v>
      </c>
      <c r="K145">
        <f t="shared" si="14"/>
        <v>0.52854175414639815</v>
      </c>
      <c r="L145">
        <f t="shared" si="15"/>
        <v>1.0442522014606988E-2</v>
      </c>
      <c r="M145">
        <f t="shared" si="16"/>
        <v>5.2854175414639819E-3</v>
      </c>
      <c r="N145">
        <f t="shared" si="17"/>
        <v>5.2854175414639819E-3</v>
      </c>
      <c r="P145">
        <f t="shared" si="18"/>
        <v>1.0532180474999999</v>
      </c>
      <c r="Q145">
        <f t="shared" si="19"/>
        <v>944.50803347076953</v>
      </c>
      <c r="R145">
        <f t="shared" si="20"/>
        <v>0.11889994997394347</v>
      </c>
    </row>
    <row r="146" spans="10:18" x14ac:dyDescent="0.25">
      <c r="J146" s="108">
        <v>15</v>
      </c>
      <c r="K146">
        <f t="shared" si="14"/>
        <v>0.53566008145101374</v>
      </c>
      <c r="L146">
        <f t="shared" si="15"/>
        <v>1.0386365375510929E-2</v>
      </c>
      <c r="M146">
        <f t="shared" si="16"/>
        <v>5.3566008145101377E-3</v>
      </c>
      <c r="N146">
        <f t="shared" si="17"/>
        <v>5.3566008145101377E-3</v>
      </c>
      <c r="P146">
        <f t="shared" si="18"/>
        <v>1.0602866249999998</v>
      </c>
      <c r="Q146">
        <f t="shared" si="19"/>
        <v>950.84701356117739</v>
      </c>
      <c r="R146">
        <f t="shared" si="20"/>
        <v>0.11958889095062059</v>
      </c>
    </row>
    <row r="147" spans="10:18" x14ac:dyDescent="0.25">
      <c r="J147" s="108">
        <v>15.1</v>
      </c>
      <c r="K147">
        <f t="shared" si="14"/>
        <v>0.54282602298509175</v>
      </c>
      <c r="L147">
        <f t="shared" si="15"/>
        <v>1.0330634405536877E-2</v>
      </c>
      <c r="M147">
        <f t="shared" si="16"/>
        <v>5.4282602298509177E-3</v>
      </c>
      <c r="N147">
        <f t="shared" si="17"/>
        <v>5.4282602298509177E-3</v>
      </c>
      <c r="P147">
        <f t="shared" si="18"/>
        <v>1.0673552024999999</v>
      </c>
      <c r="Q147">
        <f t="shared" si="19"/>
        <v>957.18599365158514</v>
      </c>
      <c r="R147">
        <f t="shared" si="20"/>
        <v>0.12028244022814503</v>
      </c>
    </row>
    <row r="148" spans="10:18" x14ac:dyDescent="0.25">
      <c r="J148" s="108">
        <v>15.2</v>
      </c>
      <c r="K148">
        <f t="shared" si="14"/>
        <v>0.55003957874863207</v>
      </c>
      <c r="L148">
        <f t="shared" si="15"/>
        <v>1.0275324404707816E-2</v>
      </c>
      <c r="M148">
        <f t="shared" si="16"/>
        <v>5.5003957874863209E-3</v>
      </c>
      <c r="N148">
        <f t="shared" si="17"/>
        <v>5.5003957874863209E-3</v>
      </c>
      <c r="P148">
        <f t="shared" si="18"/>
        <v>1.0744237799999998</v>
      </c>
      <c r="Q148">
        <f t="shared" si="19"/>
        <v>963.52497374199311</v>
      </c>
      <c r="R148">
        <f t="shared" si="20"/>
        <v>0.12098059780651685</v>
      </c>
    </row>
    <row r="149" spans="10:18" x14ac:dyDescent="0.25">
      <c r="J149" s="108">
        <v>15.3</v>
      </c>
      <c r="K149">
        <f t="shared" si="14"/>
        <v>0.55730074874163482</v>
      </c>
      <c r="L149">
        <f t="shared" si="15"/>
        <v>1.0220430747277392E-2</v>
      </c>
      <c r="M149">
        <f t="shared" si="16"/>
        <v>5.5730074874163482E-3</v>
      </c>
      <c r="N149">
        <f t="shared" si="17"/>
        <v>5.5730074874163482E-3</v>
      </c>
      <c r="P149">
        <f t="shared" si="18"/>
        <v>1.0814923574999999</v>
      </c>
      <c r="Q149">
        <f t="shared" si="19"/>
        <v>969.86395383240097</v>
      </c>
      <c r="R149">
        <f t="shared" si="20"/>
        <v>0.12168336368573598</v>
      </c>
    </row>
    <row r="150" spans="10:18" x14ac:dyDescent="0.25">
      <c r="J150" s="108">
        <v>15.4</v>
      </c>
      <c r="K150">
        <f t="shared" si="14"/>
        <v>0.56460953296409977</v>
      </c>
      <c r="L150">
        <f t="shared" si="15"/>
        <v>1.01659488801383E-2</v>
      </c>
      <c r="M150">
        <f t="shared" si="16"/>
        <v>5.6460953296409979E-3</v>
      </c>
      <c r="N150">
        <f t="shared" si="17"/>
        <v>5.6460953296409979E-3</v>
      </c>
      <c r="P150">
        <f t="shared" si="18"/>
        <v>1.0885609349999998</v>
      </c>
      <c r="Q150">
        <f t="shared" si="19"/>
        <v>976.20293392280871</v>
      </c>
      <c r="R150">
        <f t="shared" si="20"/>
        <v>0.12239073786580248</v>
      </c>
    </row>
    <row r="151" spans="10:18" x14ac:dyDescent="0.25">
      <c r="J151" s="108">
        <v>15.5</v>
      </c>
      <c r="K151">
        <f t="shared" si="14"/>
        <v>0.57196593141602692</v>
      </c>
      <c r="L151">
        <f t="shared" si="15"/>
        <v>1.0111874321274481E-2</v>
      </c>
      <c r="M151">
        <f t="shared" si="16"/>
        <v>5.7196593141602692E-3</v>
      </c>
      <c r="N151">
        <f t="shared" si="17"/>
        <v>5.7196593141602692E-3</v>
      </c>
      <c r="P151">
        <f t="shared" si="18"/>
        <v>1.0956295125</v>
      </c>
      <c r="Q151">
        <f t="shared" si="19"/>
        <v>982.54191401321668</v>
      </c>
      <c r="R151">
        <f t="shared" si="20"/>
        <v>0.12310272034671628</v>
      </c>
    </row>
    <row r="152" spans="10:18" x14ac:dyDescent="0.25">
      <c r="J152" s="108">
        <v>15.6</v>
      </c>
      <c r="K152">
        <f t="shared" si="14"/>
        <v>0.57936994409741638</v>
      </c>
      <c r="L152">
        <f t="shared" si="15"/>
        <v>1.0058202658255628E-2</v>
      </c>
      <c r="M152">
        <f t="shared" si="16"/>
        <v>5.7936994409741637E-3</v>
      </c>
      <c r="N152">
        <f t="shared" si="17"/>
        <v>5.7936994409741637E-3</v>
      </c>
      <c r="P152">
        <f t="shared" si="18"/>
        <v>1.1026980899999999</v>
      </c>
      <c r="Q152">
        <f t="shared" si="19"/>
        <v>988.88089410362443</v>
      </c>
      <c r="R152">
        <f t="shared" si="20"/>
        <v>0.12381931112847742</v>
      </c>
    </row>
    <row r="153" spans="10:18" x14ac:dyDescent="0.25">
      <c r="J153" s="108">
        <v>15.7</v>
      </c>
      <c r="K153">
        <f t="shared" si="14"/>
        <v>0.58682157100826826</v>
      </c>
      <c r="L153">
        <f t="shared" si="15"/>
        <v>1.0004929546772559E-2</v>
      </c>
      <c r="M153">
        <f t="shared" si="16"/>
        <v>5.8682157100826832E-3</v>
      </c>
      <c r="N153">
        <f t="shared" si="17"/>
        <v>5.8682157100826832E-3</v>
      </c>
      <c r="P153">
        <f t="shared" si="18"/>
        <v>1.1097666674999997</v>
      </c>
      <c r="Q153">
        <f t="shared" si="19"/>
        <v>995.21987419403206</v>
      </c>
      <c r="R153">
        <f t="shared" si="20"/>
        <v>0.12454051021108591</v>
      </c>
    </row>
    <row r="154" spans="10:18" x14ac:dyDescent="0.25">
      <c r="J154" s="108">
        <v>15.8</v>
      </c>
      <c r="K154">
        <f t="shared" si="14"/>
        <v>0.59432081214858257</v>
      </c>
      <c r="L154">
        <f t="shared" si="15"/>
        <v>9.9520507092121409E-3</v>
      </c>
      <c r="M154">
        <f t="shared" si="16"/>
        <v>5.9432081214858259E-3</v>
      </c>
      <c r="N154">
        <f t="shared" si="17"/>
        <v>5.9432081214858259E-3</v>
      </c>
      <c r="P154">
        <f t="shared" si="18"/>
        <v>1.1168352449999999</v>
      </c>
      <c r="Q154">
        <f t="shared" si="19"/>
        <v>1001.55885428444</v>
      </c>
      <c r="R154">
        <f t="shared" si="20"/>
        <v>0.12526631759454177</v>
      </c>
    </row>
    <row r="155" spans="10:18" x14ac:dyDescent="0.25">
      <c r="J155" s="108">
        <v>15.9</v>
      </c>
      <c r="K155">
        <f t="shared" si="14"/>
        <v>0.60186766751835918</v>
      </c>
      <c r="L155">
        <f t="shared" si="15"/>
        <v>9.8995619332704031E-3</v>
      </c>
      <c r="M155">
        <f t="shared" si="16"/>
        <v>6.0186766751835919E-3</v>
      </c>
      <c r="N155">
        <f t="shared" si="17"/>
        <v>6.0186766751835919E-3</v>
      </c>
      <c r="P155">
        <f t="shared" si="18"/>
        <v>1.1239038225</v>
      </c>
      <c r="Q155">
        <f t="shared" si="19"/>
        <v>1007.897834374848</v>
      </c>
      <c r="R155">
        <f t="shared" si="20"/>
        <v>0.12599673327884495</v>
      </c>
    </row>
    <row r="156" spans="10:18" x14ac:dyDescent="0.25">
      <c r="J156" s="108">
        <v>16</v>
      </c>
      <c r="K156">
        <f t="shared" si="14"/>
        <v>0.60946213711759789</v>
      </c>
      <c r="L156">
        <f t="shared" si="15"/>
        <v>9.8474590706026412E-3</v>
      </c>
      <c r="M156">
        <f t="shared" si="16"/>
        <v>6.0946213711759794E-3</v>
      </c>
      <c r="N156">
        <f t="shared" si="17"/>
        <v>6.0946213711759794E-3</v>
      </c>
      <c r="P156">
        <f t="shared" si="18"/>
        <v>1.1309723999999999</v>
      </c>
      <c r="Q156">
        <f t="shared" si="19"/>
        <v>1014.2368144652559</v>
      </c>
      <c r="R156">
        <f t="shared" si="20"/>
        <v>0.12673175726399544</v>
      </c>
    </row>
    <row r="157" spans="10:18" x14ac:dyDescent="0.25">
      <c r="J157" s="108">
        <v>16.100000000000001</v>
      </c>
      <c r="K157">
        <f t="shared" si="14"/>
        <v>0.61710422094629902</v>
      </c>
      <c r="L157">
        <f t="shared" si="15"/>
        <v>9.795738035509257E-3</v>
      </c>
      <c r="M157">
        <f t="shared" si="16"/>
        <v>6.1710422094629902E-3</v>
      </c>
      <c r="N157">
        <f t="shared" si="17"/>
        <v>6.1710422094629902E-3</v>
      </c>
      <c r="P157">
        <f t="shared" si="18"/>
        <v>1.1380409775</v>
      </c>
      <c r="Q157">
        <f t="shared" si="19"/>
        <v>1020.5757945556638</v>
      </c>
      <c r="R157">
        <f t="shared" si="20"/>
        <v>0.12747138954999329</v>
      </c>
    </row>
    <row r="158" spans="10:18" x14ac:dyDescent="0.25">
      <c r="J158" s="108">
        <v>16.2</v>
      </c>
      <c r="K158">
        <f t="shared" si="14"/>
        <v>0.62479391900446246</v>
      </c>
      <c r="L158">
        <f t="shared" si="15"/>
        <v>9.7443948036562197E-3</v>
      </c>
      <c r="M158">
        <f t="shared" si="16"/>
        <v>6.2479391900446251E-3</v>
      </c>
      <c r="N158">
        <f t="shared" si="17"/>
        <v>6.2479391900446251E-3</v>
      </c>
      <c r="P158">
        <f t="shared" si="18"/>
        <v>1.1451095549999999</v>
      </c>
      <c r="Q158">
        <f t="shared" si="19"/>
        <v>1026.9147746460715</v>
      </c>
      <c r="R158">
        <f t="shared" si="20"/>
        <v>0.12821563013683848</v>
      </c>
    </row>
    <row r="159" spans="10:18" x14ac:dyDescent="0.25">
      <c r="J159" s="108">
        <v>16.3</v>
      </c>
      <c r="K159">
        <f t="shared" si="14"/>
        <v>0.63253123129208821</v>
      </c>
      <c r="L159">
        <f t="shared" si="15"/>
        <v>9.6934254108289927E-3</v>
      </c>
      <c r="M159">
        <f t="shared" si="16"/>
        <v>6.3253123129208824E-3</v>
      </c>
      <c r="N159">
        <f t="shared" si="17"/>
        <v>6.3253123129208824E-3</v>
      </c>
      <c r="P159">
        <f t="shared" si="18"/>
        <v>1.1521781325</v>
      </c>
      <c r="Q159">
        <f t="shared" si="19"/>
        <v>1033.2537547364796</v>
      </c>
      <c r="R159">
        <f t="shared" si="20"/>
        <v>0.12896447902453098</v>
      </c>
    </row>
    <row r="160" spans="10:18" x14ac:dyDescent="0.25">
      <c r="J160" s="108">
        <v>16.399999999999999</v>
      </c>
      <c r="K160">
        <f t="shared" si="14"/>
        <v>0.64031615780917628</v>
      </c>
      <c r="L160">
        <f t="shared" si="15"/>
        <v>9.6428259517188728E-3</v>
      </c>
      <c r="M160">
        <f t="shared" si="16"/>
        <v>6.4031615780917629E-3</v>
      </c>
      <c r="N160">
        <f t="shared" si="17"/>
        <v>6.4031615780917629E-3</v>
      </c>
      <c r="P160">
        <f t="shared" si="18"/>
        <v>1.1592467099999997</v>
      </c>
      <c r="Q160">
        <f t="shared" si="19"/>
        <v>1039.592734826887</v>
      </c>
      <c r="R160">
        <f t="shared" si="20"/>
        <v>0.12971793621307084</v>
      </c>
    </row>
    <row r="161" spans="10:18" x14ac:dyDescent="0.25">
      <c r="J161" s="108">
        <v>16.5</v>
      </c>
      <c r="K161">
        <f t="shared" si="14"/>
        <v>0.64814869855572665</v>
      </c>
      <c r="L161">
        <f t="shared" si="15"/>
        <v>9.5925925787407069E-3</v>
      </c>
      <c r="M161">
        <f t="shared" si="16"/>
        <v>6.4814869855572667E-3</v>
      </c>
      <c r="N161">
        <f t="shared" si="17"/>
        <v>6.4814869855572667E-3</v>
      </c>
      <c r="P161">
        <f t="shared" si="18"/>
        <v>1.1663152874999998</v>
      </c>
      <c r="Q161">
        <f t="shared" si="19"/>
        <v>1045.931714917295</v>
      </c>
      <c r="R161">
        <f t="shared" si="20"/>
        <v>0.13047600170245807</v>
      </c>
    </row>
    <row r="162" spans="10:18" x14ac:dyDescent="0.25">
      <c r="J162" s="108">
        <v>16.600000000000001</v>
      </c>
      <c r="K162">
        <f t="shared" si="14"/>
        <v>0.65602885353173945</v>
      </c>
      <c r="L162">
        <f t="shared" si="15"/>
        <v>9.5427215008810004E-3</v>
      </c>
      <c r="M162">
        <f t="shared" si="16"/>
        <v>6.5602885353173946E-3</v>
      </c>
      <c r="N162">
        <f t="shared" si="17"/>
        <v>6.5602885353173946E-3</v>
      </c>
      <c r="P162">
        <f t="shared" si="18"/>
        <v>1.1733838650000001</v>
      </c>
      <c r="Q162">
        <f t="shared" si="19"/>
        <v>1052.2706950077031</v>
      </c>
      <c r="R162">
        <f t="shared" si="20"/>
        <v>0.13123867549269261</v>
      </c>
    </row>
    <row r="163" spans="10:18" x14ac:dyDescent="0.25">
      <c r="J163" s="108">
        <v>16.7</v>
      </c>
      <c r="K163">
        <f t="shared" si="14"/>
        <v>0.66395662273721434</v>
      </c>
      <c r="L163">
        <f t="shared" si="15"/>
        <v>9.4932089825754441E-3</v>
      </c>
      <c r="M163">
        <f t="shared" si="16"/>
        <v>6.6395662273721432E-3</v>
      </c>
      <c r="N163">
        <f t="shared" si="17"/>
        <v>6.6395662273721432E-3</v>
      </c>
      <c r="P163">
        <f t="shared" si="18"/>
        <v>1.1804524424999998</v>
      </c>
      <c r="Q163">
        <f t="shared" si="19"/>
        <v>1058.6096750981108</v>
      </c>
      <c r="R163">
        <f t="shared" si="20"/>
        <v>0.13200595758377448</v>
      </c>
    </row>
    <row r="164" spans="10:18" x14ac:dyDescent="0.25">
      <c r="J164" s="108">
        <v>16.8</v>
      </c>
      <c r="K164">
        <f t="shared" si="14"/>
        <v>0.67193200617215165</v>
      </c>
      <c r="L164">
        <f t="shared" si="15"/>
        <v>9.4440513426149418E-3</v>
      </c>
      <c r="M164">
        <f t="shared" si="16"/>
        <v>6.7193200617215168E-3</v>
      </c>
      <c r="N164">
        <f t="shared" si="17"/>
        <v>6.7193200617215168E-3</v>
      </c>
      <c r="P164">
        <f t="shared" si="18"/>
        <v>1.1875210199999999</v>
      </c>
      <c r="Q164">
        <f t="shared" si="19"/>
        <v>1064.9486551885186</v>
      </c>
      <c r="R164">
        <f t="shared" si="20"/>
        <v>0.13277784797570369</v>
      </c>
    </row>
    <row r="165" spans="10:18" x14ac:dyDescent="0.25">
      <c r="J165" s="108">
        <v>16.899999999999999</v>
      </c>
      <c r="K165">
        <f t="shared" si="14"/>
        <v>0.67995500383655116</v>
      </c>
      <c r="L165">
        <f t="shared" si="15"/>
        <v>9.3952449530792879E-3</v>
      </c>
      <c r="M165">
        <f t="shared" si="16"/>
        <v>6.7995500383655118E-3</v>
      </c>
      <c r="N165">
        <f t="shared" si="17"/>
        <v>6.7995500383655118E-3</v>
      </c>
      <c r="P165">
        <f t="shared" si="18"/>
        <v>1.1945895974999998</v>
      </c>
      <c r="Q165">
        <f t="shared" si="19"/>
        <v>1071.2876352789265</v>
      </c>
      <c r="R165">
        <f t="shared" si="20"/>
        <v>0.13355434666848026</v>
      </c>
    </row>
    <row r="166" spans="10:18" x14ac:dyDescent="0.25">
      <c r="J166" s="108">
        <v>17</v>
      </c>
      <c r="K166">
        <f t="shared" si="14"/>
        <v>0.68802561573041321</v>
      </c>
      <c r="L166">
        <f t="shared" si="15"/>
        <v>9.3467862382975737E-3</v>
      </c>
      <c r="M166">
        <f t="shared" si="16"/>
        <v>6.8802561573041319E-3</v>
      </c>
      <c r="N166">
        <f t="shared" si="17"/>
        <v>6.8802561573041319E-3</v>
      </c>
      <c r="P166">
        <f t="shared" si="18"/>
        <v>1.2016581749999999</v>
      </c>
      <c r="Q166">
        <f t="shared" si="19"/>
        <v>1077.6266153693346</v>
      </c>
      <c r="R166">
        <f t="shared" si="20"/>
        <v>0.13433545366210414</v>
      </c>
    </row>
    <row r="167" spans="10:18" x14ac:dyDescent="0.25">
      <c r="J167" s="108">
        <v>17.100000000000001</v>
      </c>
      <c r="K167">
        <f t="shared" ref="K167:K224" si="21">K$3*J167^2/1000/9.80665/G$4</f>
        <v>0.69614384185373746</v>
      </c>
      <c r="L167">
        <f t="shared" ref="L167:L224" si="22">COS(F$6*3.14159/180)*EXP(-F$12*K167^0.3333)</f>
        <v>9.2986716738345798E-3</v>
      </c>
      <c r="M167">
        <f t="shared" ref="M167:M224" si="23">F$1/2*K167</f>
        <v>6.9614384185373744E-3</v>
      </c>
      <c r="N167">
        <f t="shared" ref="N167:N224" si="24">IF(K167&gt;F$9,M167,L167)</f>
        <v>6.9614384185373744E-3</v>
      </c>
      <c r="P167">
        <f t="shared" si="18"/>
        <v>1.2087267525000001</v>
      </c>
      <c r="Q167">
        <f t="shared" si="19"/>
        <v>1083.9655954597422</v>
      </c>
      <c r="R167">
        <f t="shared" si="20"/>
        <v>0.13512116895657536</v>
      </c>
    </row>
    <row r="168" spans="10:18" x14ac:dyDescent="0.25">
      <c r="J168" s="108">
        <v>17.2</v>
      </c>
      <c r="K168">
        <f t="shared" si="21"/>
        <v>0.70430968220652401</v>
      </c>
      <c r="L168">
        <f t="shared" si="22"/>
        <v>9.2508977855022632E-3</v>
      </c>
      <c r="M168">
        <f t="shared" si="23"/>
        <v>7.0430968220652401E-3</v>
      </c>
      <c r="N168">
        <f t="shared" si="24"/>
        <v>7.0430968220652401E-3</v>
      </c>
      <c r="P168">
        <f t="shared" si="18"/>
        <v>1.21579533</v>
      </c>
      <c r="Q168">
        <f t="shared" si="19"/>
        <v>1090.30457555015</v>
      </c>
      <c r="R168">
        <f t="shared" si="20"/>
        <v>0.13591149255189397</v>
      </c>
    </row>
    <row r="169" spans="10:18" x14ac:dyDescent="0.25">
      <c r="J169" s="108">
        <v>17.3</v>
      </c>
      <c r="K169">
        <f t="shared" si="21"/>
        <v>0.71252313678877288</v>
      </c>
      <c r="L169">
        <f t="shared" si="22"/>
        <v>9.2034611483957154E-3</v>
      </c>
      <c r="M169">
        <f t="shared" si="23"/>
        <v>7.1252313678877291E-3</v>
      </c>
      <c r="N169">
        <f t="shared" si="24"/>
        <v>7.1252313678877291E-3</v>
      </c>
      <c r="P169">
        <f t="shared" si="18"/>
        <v>1.2228639075000001</v>
      </c>
      <c r="Q169">
        <f t="shared" si="19"/>
        <v>1096.6435556405581</v>
      </c>
      <c r="R169">
        <f t="shared" si="20"/>
        <v>0.13670642444805986</v>
      </c>
    </row>
    <row r="170" spans="10:18" x14ac:dyDescent="0.25">
      <c r="J170" s="108">
        <v>17.399999999999999</v>
      </c>
      <c r="K170">
        <f t="shared" si="21"/>
        <v>0.72078420560048406</v>
      </c>
      <c r="L170">
        <f t="shared" si="22"/>
        <v>9.1563583859526794E-3</v>
      </c>
      <c r="M170">
        <f t="shared" si="23"/>
        <v>7.2078420560048404E-3</v>
      </c>
      <c r="N170">
        <f t="shared" si="24"/>
        <v>7.2078420560048404E-3</v>
      </c>
      <c r="P170">
        <f t="shared" si="18"/>
        <v>1.2299324849999997</v>
      </c>
      <c r="Q170">
        <f t="shared" si="19"/>
        <v>1102.9825357309655</v>
      </c>
      <c r="R170">
        <f t="shared" si="20"/>
        <v>0.13750596464507311</v>
      </c>
    </row>
    <row r="171" spans="10:18" x14ac:dyDescent="0.25">
      <c r="J171" s="108">
        <v>17.5</v>
      </c>
      <c r="K171">
        <f t="shared" si="21"/>
        <v>0.72909288864165767</v>
      </c>
      <c r="L171">
        <f t="shared" si="22"/>
        <v>9.1095861690360744E-3</v>
      </c>
      <c r="M171">
        <f t="shared" si="23"/>
        <v>7.2909288864165768E-3</v>
      </c>
      <c r="N171">
        <f t="shared" si="24"/>
        <v>7.2909288864165768E-3</v>
      </c>
      <c r="P171">
        <f t="shared" si="18"/>
        <v>1.2370010624999999</v>
      </c>
      <c r="Q171">
        <f t="shared" si="19"/>
        <v>1109.3215158213736</v>
      </c>
      <c r="R171">
        <f t="shared" si="20"/>
        <v>0.1383101131429337</v>
      </c>
    </row>
    <row r="172" spans="10:18" x14ac:dyDescent="0.25">
      <c r="J172" s="108">
        <v>17.600000000000001</v>
      </c>
      <c r="K172">
        <f t="shared" si="21"/>
        <v>0.73744918591229369</v>
      </c>
      <c r="L172">
        <f t="shared" si="22"/>
        <v>9.0631412150387683E-3</v>
      </c>
      <c r="M172">
        <f t="shared" si="23"/>
        <v>7.3744918591229372E-3</v>
      </c>
      <c r="N172">
        <f t="shared" si="24"/>
        <v>7.3744918591229372E-3</v>
      </c>
      <c r="P172">
        <f t="shared" si="18"/>
        <v>1.24406964</v>
      </c>
      <c r="Q172">
        <f t="shared" si="19"/>
        <v>1115.6604959117815</v>
      </c>
      <c r="R172">
        <f t="shared" si="20"/>
        <v>0.13911886994164166</v>
      </c>
    </row>
    <row r="173" spans="10:18" x14ac:dyDescent="0.25">
      <c r="J173" s="108">
        <v>17.7</v>
      </c>
      <c r="K173">
        <f t="shared" si="21"/>
        <v>0.74585309741239159</v>
      </c>
      <c r="L173">
        <f t="shared" si="22"/>
        <v>9.0170202870099078E-3</v>
      </c>
      <c r="M173">
        <f t="shared" si="23"/>
        <v>7.4585309741239158E-3</v>
      </c>
      <c r="N173">
        <f t="shared" si="24"/>
        <v>7.4585309741239158E-3</v>
      </c>
      <c r="P173">
        <f t="shared" si="18"/>
        <v>1.2511382174999999</v>
      </c>
      <c r="Q173">
        <f t="shared" si="19"/>
        <v>1121.9994760021891</v>
      </c>
      <c r="R173">
        <f t="shared" si="20"/>
        <v>0.1399322350411969</v>
      </c>
    </row>
    <row r="174" spans="10:18" x14ac:dyDescent="0.25">
      <c r="J174" s="108">
        <v>17.8</v>
      </c>
      <c r="K174">
        <f t="shared" si="21"/>
        <v>0.75430462314195212</v>
      </c>
      <c r="L174">
        <f t="shared" si="22"/>
        <v>8.9712201928022501E-3</v>
      </c>
      <c r="M174">
        <f t="shared" si="23"/>
        <v>7.543046231419521E-3</v>
      </c>
      <c r="N174">
        <f t="shared" si="24"/>
        <v>7.543046231419521E-3</v>
      </c>
      <c r="P174">
        <f t="shared" si="18"/>
        <v>1.258206795</v>
      </c>
      <c r="Q174">
        <f t="shared" si="19"/>
        <v>1128.3384560925972</v>
      </c>
      <c r="R174">
        <f t="shared" si="20"/>
        <v>0.14075020844159952</v>
      </c>
    </row>
    <row r="175" spans="10:18" x14ac:dyDescent="0.25">
      <c r="J175" s="108">
        <v>17.899999999999999</v>
      </c>
      <c r="K175">
        <f t="shared" si="21"/>
        <v>0.76280376310097475</v>
      </c>
      <c r="L175">
        <f t="shared" si="22"/>
        <v>8.9257377842398081E-3</v>
      </c>
      <c r="M175">
        <f t="shared" si="23"/>
        <v>7.6280376310097478E-3</v>
      </c>
      <c r="N175">
        <f t="shared" si="24"/>
        <v>7.6280376310097478E-3</v>
      </c>
      <c r="P175">
        <f t="shared" si="18"/>
        <v>1.2652753724999999</v>
      </c>
      <c r="Q175">
        <f t="shared" si="19"/>
        <v>1134.6774361830051</v>
      </c>
      <c r="R175">
        <f t="shared" si="20"/>
        <v>0.14157279014284946</v>
      </c>
    </row>
    <row r="176" spans="10:18" x14ac:dyDescent="0.25">
      <c r="J176" s="108">
        <v>18</v>
      </c>
      <c r="K176">
        <f t="shared" si="21"/>
        <v>0.77135051728946002</v>
      </c>
      <c r="L176">
        <f t="shared" si="22"/>
        <v>8.8805699563052707E-3</v>
      </c>
      <c r="M176">
        <f t="shared" si="23"/>
        <v>7.7135051728946004E-3</v>
      </c>
      <c r="N176">
        <f t="shared" si="24"/>
        <v>7.7135051728946004E-3</v>
      </c>
      <c r="P176">
        <f t="shared" si="18"/>
        <v>1.27234395</v>
      </c>
      <c r="Q176">
        <f t="shared" si="19"/>
        <v>1141.0164162734129</v>
      </c>
      <c r="R176">
        <f t="shared" si="20"/>
        <v>0.14239998014494676</v>
      </c>
    </row>
    <row r="177" spans="10:18" x14ac:dyDescent="0.25">
      <c r="J177" s="108">
        <v>18.100000000000001</v>
      </c>
      <c r="K177">
        <f t="shared" si="21"/>
        <v>0.77994488570740739</v>
      </c>
      <c r="L177">
        <f t="shared" si="22"/>
        <v>8.8357136463465807E-3</v>
      </c>
      <c r="M177">
        <f t="shared" si="23"/>
        <v>7.7994488570740737E-3</v>
      </c>
      <c r="N177">
        <f t="shared" si="24"/>
        <v>7.7994488570740737E-3</v>
      </c>
      <c r="P177">
        <f t="shared" si="18"/>
        <v>1.2794125275000001</v>
      </c>
      <c r="Q177">
        <f t="shared" si="19"/>
        <v>1147.355396363821</v>
      </c>
      <c r="R177">
        <f t="shared" si="20"/>
        <v>0.14323177844789137</v>
      </c>
    </row>
    <row r="178" spans="10:18" x14ac:dyDescent="0.25">
      <c r="J178" s="108">
        <v>18.2</v>
      </c>
      <c r="K178">
        <f t="shared" si="21"/>
        <v>0.78858686835481673</v>
      </c>
      <c r="L178">
        <f t="shared" si="22"/>
        <v>8.7911658333021322E-3</v>
      </c>
      <c r="M178">
        <f t="shared" si="23"/>
        <v>7.8858686835481667E-3</v>
      </c>
      <c r="N178">
        <f t="shared" si="24"/>
        <v>7.8858686835481667E-3</v>
      </c>
      <c r="P178">
        <f t="shared" si="18"/>
        <v>1.2864811049999998</v>
      </c>
      <c r="Q178">
        <f t="shared" si="19"/>
        <v>1153.6943764542286</v>
      </c>
      <c r="R178">
        <f t="shared" si="20"/>
        <v>0.14406818505168331</v>
      </c>
    </row>
    <row r="179" spans="10:18" x14ac:dyDescent="0.25">
      <c r="J179" s="108">
        <v>18.3</v>
      </c>
      <c r="K179">
        <f t="shared" si="21"/>
        <v>0.79727646523168882</v>
      </c>
      <c r="L179">
        <f t="shared" si="22"/>
        <v>8.746923536944071E-3</v>
      </c>
      <c r="M179">
        <f t="shared" si="23"/>
        <v>7.9727646523168882E-3</v>
      </c>
      <c r="N179">
        <f t="shared" si="24"/>
        <v>7.9727646523168882E-3</v>
      </c>
      <c r="P179">
        <f t="shared" si="18"/>
        <v>1.2935496825000001</v>
      </c>
      <c r="Q179">
        <f t="shared" si="19"/>
        <v>1160.0333565446367</v>
      </c>
      <c r="R179">
        <f t="shared" si="20"/>
        <v>0.14490919995632259</v>
      </c>
    </row>
    <row r="180" spans="10:18" x14ac:dyDescent="0.25">
      <c r="J180" s="108">
        <v>18.399999999999999</v>
      </c>
      <c r="K180">
        <f t="shared" si="21"/>
        <v>0.80601367633802312</v>
      </c>
      <c r="L180">
        <f t="shared" si="22"/>
        <v>8.7029838171391542E-3</v>
      </c>
      <c r="M180">
        <f t="shared" si="23"/>
        <v>8.0601367633802313E-3</v>
      </c>
      <c r="N180">
        <f t="shared" si="24"/>
        <v>8.0601367633802313E-3</v>
      </c>
      <c r="P180">
        <f t="shared" si="18"/>
        <v>1.3006182599999998</v>
      </c>
      <c r="Q180">
        <f t="shared" si="19"/>
        <v>1166.3723366350441</v>
      </c>
      <c r="R180">
        <f t="shared" si="20"/>
        <v>0.14575482316180927</v>
      </c>
    </row>
    <row r="181" spans="10:18" x14ac:dyDescent="0.25">
      <c r="J181" s="108">
        <v>18.5</v>
      </c>
      <c r="K181">
        <f t="shared" si="21"/>
        <v>0.81479850167381984</v>
      </c>
      <c r="L181">
        <f t="shared" si="22"/>
        <v>8.6593437731266928E-3</v>
      </c>
      <c r="M181">
        <f t="shared" si="23"/>
        <v>8.1479850167381993E-3</v>
      </c>
      <c r="N181">
        <f t="shared" si="24"/>
        <v>8.1479850167381993E-3</v>
      </c>
      <c r="P181">
        <f t="shared" si="18"/>
        <v>1.3076868374999999</v>
      </c>
      <c r="Q181">
        <f t="shared" si="19"/>
        <v>1172.711316725452</v>
      </c>
      <c r="R181">
        <f t="shared" si="20"/>
        <v>0.14660505466814322</v>
      </c>
    </row>
    <row r="182" spans="10:18" x14ac:dyDescent="0.25">
      <c r="J182" s="108">
        <v>18.600000000000001</v>
      </c>
      <c r="K182">
        <f t="shared" si="21"/>
        <v>0.82363094123907887</v>
      </c>
      <c r="L182">
        <f t="shared" si="22"/>
        <v>8.616000542813064E-3</v>
      </c>
      <c r="M182">
        <f t="shared" si="23"/>
        <v>8.2363094123907889E-3</v>
      </c>
      <c r="N182">
        <f t="shared" si="24"/>
        <v>8.2363094123907889E-3</v>
      </c>
      <c r="P182">
        <f t="shared" si="18"/>
        <v>1.314755415</v>
      </c>
      <c r="Q182">
        <f t="shared" si="19"/>
        <v>1179.0502968158601</v>
      </c>
      <c r="R182">
        <f t="shared" si="20"/>
        <v>0.14745989447532454</v>
      </c>
    </row>
    <row r="183" spans="10:18" x14ac:dyDescent="0.25">
      <c r="J183" s="108">
        <v>18.7</v>
      </c>
      <c r="K183">
        <f t="shared" si="21"/>
        <v>0.83251099503379999</v>
      </c>
      <c r="L183">
        <f t="shared" si="22"/>
        <v>8.5729513020823753E-3</v>
      </c>
      <c r="M183">
        <f t="shared" si="23"/>
        <v>8.3251099503379999E-3</v>
      </c>
      <c r="N183">
        <f t="shared" si="24"/>
        <v>8.3251099503379999E-3</v>
      </c>
      <c r="P183">
        <f t="shared" si="18"/>
        <v>1.3218239924999999</v>
      </c>
      <c r="Q183">
        <f t="shared" si="19"/>
        <v>1185.3892769062679</v>
      </c>
      <c r="R183">
        <f t="shared" si="20"/>
        <v>0.14831934258335316</v>
      </c>
    </row>
    <row r="184" spans="10:18" x14ac:dyDescent="0.25">
      <c r="J184" s="108">
        <v>18.8</v>
      </c>
      <c r="K184">
        <f t="shared" si="21"/>
        <v>0.84143866305798365</v>
      </c>
      <c r="L184">
        <f t="shared" si="22"/>
        <v>8.5301932641227655E-3</v>
      </c>
      <c r="M184">
        <f t="shared" si="23"/>
        <v>8.414386630579836E-3</v>
      </c>
      <c r="N184">
        <f t="shared" si="24"/>
        <v>8.414386630579836E-3</v>
      </c>
      <c r="P184">
        <f t="shared" si="18"/>
        <v>1.3288925700000001</v>
      </c>
      <c r="Q184">
        <f t="shared" si="19"/>
        <v>1191.7282569966756</v>
      </c>
      <c r="R184">
        <f t="shared" si="20"/>
        <v>0.14918339899222918</v>
      </c>
    </row>
    <row r="185" spans="10:18" x14ac:dyDescent="0.25">
      <c r="J185" s="108">
        <v>18.899999999999999</v>
      </c>
      <c r="K185">
        <f t="shared" si="21"/>
        <v>0.85041394531162928</v>
      </c>
      <c r="L185">
        <f t="shared" si="22"/>
        <v>8.4877236787679836E-3</v>
      </c>
      <c r="M185">
        <f t="shared" si="23"/>
        <v>8.5041394531162936E-3</v>
      </c>
      <c r="N185">
        <f t="shared" si="24"/>
        <v>8.5041394531162936E-3</v>
      </c>
      <c r="P185">
        <f t="shared" si="18"/>
        <v>1.3359611474999999</v>
      </c>
      <c r="Q185">
        <f t="shared" si="19"/>
        <v>1198.0672370870834</v>
      </c>
      <c r="R185">
        <f t="shared" si="20"/>
        <v>0.15005206370195251</v>
      </c>
    </row>
    <row r="186" spans="10:18" x14ac:dyDescent="0.25">
      <c r="J186" s="108">
        <v>19</v>
      </c>
      <c r="K186">
        <f t="shared" si="21"/>
        <v>0.85943684179473756</v>
      </c>
      <c r="L186">
        <f t="shared" si="22"/>
        <v>8.445539831853751E-3</v>
      </c>
      <c r="M186">
        <f t="shared" si="23"/>
        <v>8.5943684179473762E-3</v>
      </c>
      <c r="N186">
        <f t="shared" si="24"/>
        <v>8.5943684179473762E-3</v>
      </c>
      <c r="P186">
        <f t="shared" si="18"/>
        <v>1.3430297250000001</v>
      </c>
      <c r="Q186">
        <f t="shared" si="19"/>
        <v>1204.4062171774915</v>
      </c>
      <c r="R186">
        <f t="shared" si="20"/>
        <v>0.15092533671252317</v>
      </c>
    </row>
    <row r="187" spans="10:18" x14ac:dyDescent="0.25">
      <c r="J187" s="108">
        <v>19.100000000000001</v>
      </c>
      <c r="K187">
        <f t="shared" si="21"/>
        <v>0.86850735250730826</v>
      </c>
      <c r="L187">
        <f t="shared" si="22"/>
        <v>8.4036390445885439E-3</v>
      </c>
      <c r="M187">
        <f t="shared" si="23"/>
        <v>8.685073525073082E-3</v>
      </c>
      <c r="N187">
        <f t="shared" si="24"/>
        <v>8.685073525073082E-3</v>
      </c>
      <c r="P187">
        <f t="shared" si="18"/>
        <v>1.3500983025</v>
      </c>
      <c r="Q187">
        <f t="shared" si="19"/>
        <v>1210.7451972678989</v>
      </c>
      <c r="R187">
        <f t="shared" si="20"/>
        <v>0.15180321802394117</v>
      </c>
    </row>
    <row r="188" spans="10:18" x14ac:dyDescent="0.25">
      <c r="J188" s="108">
        <v>19.2</v>
      </c>
      <c r="K188">
        <f t="shared" si="21"/>
        <v>0.87762547744934083</v>
      </c>
      <c r="L188">
        <f t="shared" si="22"/>
        <v>8.3620186729383948E-3</v>
      </c>
      <c r="M188">
        <f t="shared" si="23"/>
        <v>8.7762547744934093E-3</v>
      </c>
      <c r="N188">
        <f t="shared" si="24"/>
        <v>8.7762547744934093E-3</v>
      </c>
      <c r="P188">
        <f t="shared" si="18"/>
        <v>1.3571668799999999</v>
      </c>
      <c r="Q188">
        <f t="shared" si="19"/>
        <v>1217.0841773583072</v>
      </c>
      <c r="R188">
        <f t="shared" si="20"/>
        <v>0.15268570763620651</v>
      </c>
    </row>
    <row r="189" spans="10:18" x14ac:dyDescent="0.25">
      <c r="J189" s="108">
        <v>19.3</v>
      </c>
      <c r="K189">
        <f t="shared" si="21"/>
        <v>0.88679121662083604</v>
      </c>
      <c r="L189">
        <f t="shared" si="22"/>
        <v>8.320676107025313E-3</v>
      </c>
      <c r="M189">
        <f t="shared" si="23"/>
        <v>8.8679121662083599E-3</v>
      </c>
      <c r="N189">
        <f t="shared" si="24"/>
        <v>8.8679121662083599E-3</v>
      </c>
      <c r="P189">
        <f t="shared" si="18"/>
        <v>1.3642354575</v>
      </c>
      <c r="Q189">
        <f t="shared" si="19"/>
        <v>1223.4231574487151</v>
      </c>
      <c r="R189">
        <f t="shared" si="20"/>
        <v>0.15357280554931921</v>
      </c>
    </row>
    <row r="190" spans="10:18" x14ac:dyDescent="0.25">
      <c r="J190" s="108">
        <v>19.399999999999999</v>
      </c>
      <c r="K190">
        <f t="shared" si="21"/>
        <v>0.89600457002179335</v>
      </c>
      <c r="L190">
        <f t="shared" si="22"/>
        <v>8.279608770538972E-3</v>
      </c>
      <c r="M190">
        <f t="shared" si="23"/>
        <v>8.9600457002179338E-3</v>
      </c>
      <c r="N190">
        <f t="shared" si="24"/>
        <v>8.9600457002179338E-3</v>
      </c>
      <c r="P190">
        <f t="shared" si="18"/>
        <v>1.3713040349999999</v>
      </c>
      <c r="Q190">
        <f t="shared" si="19"/>
        <v>1229.7621375391225</v>
      </c>
      <c r="R190">
        <f t="shared" si="20"/>
        <v>0.15446451176327922</v>
      </c>
    </row>
    <row r="191" spans="10:18" x14ac:dyDescent="0.25">
      <c r="J191" s="108">
        <v>19.5</v>
      </c>
      <c r="K191">
        <f t="shared" si="21"/>
        <v>0.90526553765221329</v>
      </c>
      <c r="L191">
        <f t="shared" si="22"/>
        <v>8.2388141201613137E-3</v>
      </c>
      <c r="M191">
        <f t="shared" si="23"/>
        <v>9.0526553765221326E-3</v>
      </c>
      <c r="N191">
        <f t="shared" si="24"/>
        <v>9.0526553765221326E-3</v>
      </c>
      <c r="P191">
        <f t="shared" si="18"/>
        <v>1.3783726125</v>
      </c>
      <c r="Q191">
        <f t="shared" si="19"/>
        <v>1236.1011176295308</v>
      </c>
      <c r="R191">
        <f t="shared" si="20"/>
        <v>0.15536082627808659</v>
      </c>
    </row>
    <row r="192" spans="10:18" x14ac:dyDescent="0.25">
      <c r="J192" s="108">
        <v>19.600000000000001</v>
      </c>
      <c r="K192">
        <f t="shared" si="21"/>
        <v>0.91457411951209544</v>
      </c>
      <c r="L192">
        <f t="shared" si="22"/>
        <v>8.1982896450037059E-3</v>
      </c>
      <c r="M192">
        <f t="shared" si="23"/>
        <v>9.1457411951209548E-3</v>
      </c>
      <c r="N192">
        <f t="shared" si="24"/>
        <v>9.1457411951209548E-3</v>
      </c>
      <c r="P192">
        <f t="shared" si="18"/>
        <v>1.3854411899999999</v>
      </c>
      <c r="Q192">
        <f t="shared" si="19"/>
        <v>1242.4400977199384</v>
      </c>
      <c r="R192">
        <f t="shared" si="20"/>
        <v>0.1562617490937413</v>
      </c>
    </row>
    <row r="193" spans="10:18" x14ac:dyDescent="0.25">
      <c r="J193" s="108">
        <v>19.7</v>
      </c>
      <c r="K193">
        <f t="shared" si="21"/>
        <v>0.92393031560143968</v>
      </c>
      <c r="L193">
        <f t="shared" si="22"/>
        <v>8.1580328660563074E-3</v>
      </c>
      <c r="M193">
        <f t="shared" si="23"/>
        <v>9.2393031560143966E-3</v>
      </c>
      <c r="N193">
        <f t="shared" si="24"/>
        <v>9.2393031560143966E-3</v>
      </c>
      <c r="P193">
        <f t="shared" si="18"/>
        <v>1.3925097675</v>
      </c>
      <c r="Q193">
        <f t="shared" si="19"/>
        <v>1248.7790778103461</v>
      </c>
      <c r="R193">
        <f t="shared" si="20"/>
        <v>0.15716728021024332</v>
      </c>
    </row>
    <row r="194" spans="10:18" x14ac:dyDescent="0.25">
      <c r="J194" s="108">
        <v>19.8</v>
      </c>
      <c r="K194">
        <f t="shared" si="21"/>
        <v>0.93333412592024645</v>
      </c>
      <c r="L194">
        <f t="shared" si="22"/>
        <v>8.118041335649348E-3</v>
      </c>
      <c r="M194">
        <f t="shared" si="23"/>
        <v>9.3333412592024653E-3</v>
      </c>
      <c r="N194">
        <f t="shared" si="24"/>
        <v>9.3333412592024653E-3</v>
      </c>
      <c r="P194">
        <f t="shared" si="18"/>
        <v>1.3995783449999999</v>
      </c>
      <c r="Q194">
        <f t="shared" si="19"/>
        <v>1255.1180579007541</v>
      </c>
      <c r="R194">
        <f t="shared" si="20"/>
        <v>0.15807741962759272</v>
      </c>
    </row>
    <row r="195" spans="10:18" x14ac:dyDescent="0.25">
      <c r="J195" s="108">
        <v>19.899999999999999</v>
      </c>
      <c r="K195">
        <f t="shared" si="21"/>
        <v>0.94278555046851509</v>
      </c>
      <c r="L195">
        <f t="shared" si="22"/>
        <v>8.0783126369260074E-3</v>
      </c>
      <c r="M195">
        <f t="shared" si="23"/>
        <v>9.4278555046851519E-3</v>
      </c>
      <c r="N195">
        <f t="shared" si="24"/>
        <v>9.4278555046851519E-3</v>
      </c>
      <c r="P195">
        <f t="shared" si="18"/>
        <v>1.4066469224999998</v>
      </c>
      <c r="Q195">
        <f t="shared" si="19"/>
        <v>1261.457037991162</v>
      </c>
      <c r="R195">
        <f t="shared" si="20"/>
        <v>0.15899216734578941</v>
      </c>
    </row>
    <row r="196" spans="10:18" x14ac:dyDescent="0.25">
      <c r="J196" s="108">
        <v>20</v>
      </c>
      <c r="K196">
        <f t="shared" si="21"/>
        <v>0.9522845892462467</v>
      </c>
      <c r="L196">
        <f t="shared" si="22"/>
        <v>8.0388443833265405E-3</v>
      </c>
      <c r="M196">
        <f t="shared" si="23"/>
        <v>9.522845892462467E-3</v>
      </c>
      <c r="N196">
        <f t="shared" si="24"/>
        <v>9.522845892462467E-3</v>
      </c>
      <c r="P196">
        <f t="shared" si="18"/>
        <v>1.4137154999999999</v>
      </c>
      <c r="Q196">
        <f t="shared" si="19"/>
        <v>1267.7960180815699</v>
      </c>
      <c r="R196">
        <f t="shared" si="20"/>
        <v>0.15991152336483347</v>
      </c>
    </row>
    <row r="197" spans="10:18" x14ac:dyDescent="0.25">
      <c r="J197" s="108">
        <v>20.100000000000001</v>
      </c>
      <c r="K197">
        <f t="shared" si="21"/>
        <v>0.96183124225344052</v>
      </c>
      <c r="L197">
        <f t="shared" si="22"/>
        <v>7.9996342180834231E-3</v>
      </c>
      <c r="M197">
        <f t="shared" si="23"/>
        <v>9.6183124225344054E-3</v>
      </c>
      <c r="N197">
        <f t="shared" si="24"/>
        <v>9.6183124225344054E-3</v>
      </c>
      <c r="P197">
        <f t="shared" si="18"/>
        <v>1.4207840775</v>
      </c>
      <c r="Q197">
        <f t="shared" si="19"/>
        <v>1274.1349981719777</v>
      </c>
      <c r="R197">
        <f t="shared" si="20"/>
        <v>0.16083548768472489</v>
      </c>
    </row>
    <row r="198" spans="10:18" x14ac:dyDescent="0.25">
      <c r="J198" s="108">
        <v>20.2</v>
      </c>
      <c r="K198">
        <f t="shared" si="21"/>
        <v>0.9714255094900961</v>
      </c>
      <c r="L198">
        <f t="shared" si="22"/>
        <v>7.9606798137271811E-3</v>
      </c>
      <c r="M198">
        <f t="shared" si="23"/>
        <v>9.7142550949009619E-3</v>
      </c>
      <c r="N198">
        <f t="shared" si="24"/>
        <v>9.7142550949009619E-3</v>
      </c>
      <c r="P198">
        <f t="shared" si="18"/>
        <v>1.4278526549999999</v>
      </c>
      <c r="Q198">
        <f t="shared" si="19"/>
        <v>1280.4739782623858</v>
      </c>
      <c r="R198">
        <f t="shared" si="20"/>
        <v>0.16176406030546359</v>
      </c>
    </row>
    <row r="199" spans="10:18" x14ac:dyDescent="0.25">
      <c r="J199" s="108">
        <v>20.3</v>
      </c>
      <c r="K199">
        <f t="shared" si="21"/>
        <v>0.98106739095621454</v>
      </c>
      <c r="L199">
        <f t="shared" si="22"/>
        <v>7.9219788716026317E-3</v>
      </c>
      <c r="M199">
        <f t="shared" si="23"/>
        <v>9.810673909562145E-3</v>
      </c>
      <c r="N199">
        <f t="shared" si="24"/>
        <v>9.810673909562145E-3</v>
      </c>
      <c r="P199">
        <f t="shared" ref="P199:P224" si="25">J199*3.14159*G$4^2/4</f>
        <v>1.4349212324999998</v>
      </c>
      <c r="Q199">
        <f t="shared" ref="Q199:Q224" si="26">P199*K$3/K$2/1.205/1000*24*3600</f>
        <v>1286.8129583527932</v>
      </c>
      <c r="R199">
        <f t="shared" ref="R199:R224" si="27">(N199*R$1*1000*9.80665+K$3*9.80665*R$1*COS(F$6))/101325</f>
        <v>0.16269724122704968</v>
      </c>
    </row>
    <row r="200" spans="10:18" x14ac:dyDescent="0.25">
      <c r="J200" s="108">
        <v>20.399999999999999</v>
      </c>
      <c r="K200">
        <f t="shared" si="21"/>
        <v>0.99075688665179507</v>
      </c>
      <c r="L200">
        <f t="shared" si="22"/>
        <v>7.8835291213953003E-3</v>
      </c>
      <c r="M200">
        <f t="shared" si="23"/>
        <v>9.9075688665179514E-3</v>
      </c>
      <c r="N200">
        <f t="shared" si="24"/>
        <v>9.9075688665179514E-3</v>
      </c>
      <c r="P200">
        <f t="shared" si="25"/>
        <v>1.4419898099999997</v>
      </c>
      <c r="Q200">
        <f t="shared" si="26"/>
        <v>1293.1519384432011</v>
      </c>
      <c r="R200">
        <f t="shared" si="27"/>
        <v>0.1636350304494831</v>
      </c>
    </row>
    <row r="201" spans="10:18" x14ac:dyDescent="0.25">
      <c r="J201" s="108">
        <v>20.5</v>
      </c>
      <c r="K201">
        <f t="shared" si="21"/>
        <v>1.0004939965768378</v>
      </c>
      <c r="L201">
        <f t="shared" si="22"/>
        <v>7.8453283206677271E-3</v>
      </c>
      <c r="M201">
        <f t="shared" si="23"/>
        <v>1.0004939965768378E-2</v>
      </c>
      <c r="N201">
        <f t="shared" si="24"/>
        <v>1.0004939965768378E-2</v>
      </c>
      <c r="P201">
        <f t="shared" si="25"/>
        <v>1.4490583874999998</v>
      </c>
      <c r="Q201">
        <f t="shared" si="26"/>
        <v>1299.4909185336091</v>
      </c>
      <c r="R201">
        <f t="shared" si="27"/>
        <v>0.16457742797276381</v>
      </c>
    </row>
    <row r="202" spans="10:18" x14ac:dyDescent="0.25">
      <c r="J202" s="108">
        <v>20.6</v>
      </c>
      <c r="K202">
        <f t="shared" si="21"/>
        <v>1.0102787207313433</v>
      </c>
      <c r="L202">
        <f t="shared" si="22"/>
        <v>7.8073742544053975E-3</v>
      </c>
      <c r="M202">
        <f t="shared" si="23"/>
        <v>1.0102787207313432E-2</v>
      </c>
      <c r="N202">
        <f t="shared" si="24"/>
        <v>1.0102787207313432E-2</v>
      </c>
      <c r="P202">
        <f t="shared" si="25"/>
        <v>1.4561269650000002</v>
      </c>
      <c r="Q202">
        <f t="shared" si="26"/>
        <v>1305.8298986240172</v>
      </c>
      <c r="R202">
        <f t="shared" si="27"/>
        <v>0.16552443379689191</v>
      </c>
    </row>
    <row r="203" spans="10:18" x14ac:dyDescent="0.25">
      <c r="J203" s="108">
        <v>20.7</v>
      </c>
      <c r="K203">
        <f t="shared" si="21"/>
        <v>1.0201110591153104</v>
      </c>
      <c r="L203">
        <f t="shared" si="22"/>
        <v>7.7696647345721018E-3</v>
      </c>
      <c r="M203">
        <f t="shared" si="23"/>
        <v>1.0201110591153105E-2</v>
      </c>
      <c r="N203">
        <f t="shared" si="24"/>
        <v>1.0201110591153105E-2</v>
      </c>
      <c r="P203">
        <f t="shared" si="25"/>
        <v>1.4631955424999998</v>
      </c>
      <c r="Q203">
        <f t="shared" si="26"/>
        <v>1312.1688787144249</v>
      </c>
      <c r="R203">
        <f t="shared" si="27"/>
        <v>0.16647604792186732</v>
      </c>
    </row>
    <row r="204" spans="10:18" x14ac:dyDescent="0.25">
      <c r="J204" s="108">
        <v>20.8</v>
      </c>
      <c r="K204">
        <f t="shared" si="21"/>
        <v>1.0299910117287405</v>
      </c>
      <c r="L204">
        <f t="shared" si="22"/>
        <v>7.7321975996744105E-3</v>
      </c>
      <c r="M204">
        <f t="shared" si="23"/>
        <v>1.0299910117287406E-2</v>
      </c>
      <c r="N204">
        <f t="shared" si="24"/>
        <v>1.0299910117287406E-2</v>
      </c>
      <c r="P204">
        <f t="shared" si="25"/>
        <v>1.47026412</v>
      </c>
      <c r="Q204">
        <f t="shared" si="26"/>
        <v>1318.5078588048327</v>
      </c>
      <c r="R204">
        <f t="shared" si="27"/>
        <v>0.16743227034769009</v>
      </c>
    </row>
    <row r="205" spans="10:18" x14ac:dyDescent="0.25">
      <c r="J205" s="108">
        <v>20.9</v>
      </c>
      <c r="K205">
        <f t="shared" si="21"/>
        <v>1.0399185785716323</v>
      </c>
      <c r="L205">
        <f t="shared" si="22"/>
        <v>7.6949707143351299E-3</v>
      </c>
      <c r="M205">
        <f t="shared" si="23"/>
        <v>1.0399185785716324E-2</v>
      </c>
      <c r="N205">
        <f t="shared" si="24"/>
        <v>1.0399185785716324E-2</v>
      </c>
      <c r="P205">
        <f t="shared" si="25"/>
        <v>1.4773326974999998</v>
      </c>
      <c r="Q205">
        <f t="shared" si="26"/>
        <v>1324.8468388952404</v>
      </c>
      <c r="R205">
        <f t="shared" si="27"/>
        <v>0.16839310107436017</v>
      </c>
    </row>
    <row r="206" spans="10:18" x14ac:dyDescent="0.25">
      <c r="J206" s="108">
        <v>21</v>
      </c>
      <c r="K206">
        <f t="shared" si="21"/>
        <v>1.049893759643987</v>
      </c>
      <c r="L206">
        <f t="shared" si="22"/>
        <v>7.6579819688754047E-3</v>
      </c>
      <c r="M206">
        <f t="shared" si="23"/>
        <v>1.049893759643987E-2</v>
      </c>
      <c r="N206">
        <f t="shared" si="24"/>
        <v>1.049893759643987E-2</v>
      </c>
      <c r="P206">
        <f t="shared" si="25"/>
        <v>1.4844012749999997</v>
      </c>
      <c r="Q206">
        <f t="shared" si="26"/>
        <v>1331.185818985648</v>
      </c>
      <c r="R206">
        <f t="shared" si="27"/>
        <v>0.16935854010187765</v>
      </c>
    </row>
    <row r="207" spans="10:18" x14ac:dyDescent="0.25">
      <c r="J207" s="108">
        <v>21.1</v>
      </c>
      <c r="K207">
        <f t="shared" si="21"/>
        <v>1.0599165549458038</v>
      </c>
      <c r="L207">
        <f t="shared" si="22"/>
        <v>7.6212292789053712E-3</v>
      </c>
      <c r="M207">
        <f t="shared" si="23"/>
        <v>1.0599165549458039E-2</v>
      </c>
      <c r="N207">
        <f t="shared" si="24"/>
        <v>1.0599165549458039E-2</v>
      </c>
      <c r="P207">
        <f t="shared" si="25"/>
        <v>1.4914698524999999</v>
      </c>
      <c r="Q207">
        <f t="shared" si="26"/>
        <v>1337.5247990760561</v>
      </c>
      <c r="R207">
        <f t="shared" si="27"/>
        <v>0.17032858743024246</v>
      </c>
    </row>
    <row r="208" spans="10:18" x14ac:dyDescent="0.25">
      <c r="J208" s="108">
        <v>21.2</v>
      </c>
      <c r="K208">
        <f t="shared" si="21"/>
        <v>1.0699869644770827</v>
      </c>
      <c r="L208">
        <f t="shared" si="22"/>
        <v>7.5847105849230307E-3</v>
      </c>
      <c r="M208">
        <f t="shared" si="23"/>
        <v>1.0699869644770828E-2</v>
      </c>
      <c r="N208">
        <f t="shared" si="24"/>
        <v>1.0699869644770828E-2</v>
      </c>
      <c r="P208">
        <f t="shared" si="25"/>
        <v>1.49853843</v>
      </c>
      <c r="Q208">
        <f t="shared" si="26"/>
        <v>1343.8637791664639</v>
      </c>
      <c r="R208">
        <f t="shared" si="27"/>
        <v>0.17130324305945452</v>
      </c>
    </row>
    <row r="209" spans="10:18" x14ac:dyDescent="0.25">
      <c r="J209" s="108">
        <v>21.3</v>
      </c>
      <c r="K209">
        <f t="shared" si="21"/>
        <v>1.0801049882378242</v>
      </c>
      <c r="L209">
        <f t="shared" si="22"/>
        <v>7.5484238519212404E-3</v>
      </c>
      <c r="M209">
        <f t="shared" si="23"/>
        <v>1.0801049882378242E-2</v>
      </c>
      <c r="N209">
        <f t="shared" si="24"/>
        <v>1.0801049882378242E-2</v>
      </c>
      <c r="P209">
        <f t="shared" si="25"/>
        <v>1.5056070075000001</v>
      </c>
      <c r="Q209">
        <f t="shared" si="26"/>
        <v>1350.2027592568718</v>
      </c>
      <c r="R209">
        <f t="shared" si="27"/>
        <v>0.172282506989514</v>
      </c>
    </row>
    <row r="210" spans="10:18" x14ac:dyDescent="0.25">
      <c r="J210" s="108">
        <v>21.4</v>
      </c>
      <c r="K210">
        <f t="shared" si="21"/>
        <v>1.0902706262280277</v>
      </c>
      <c r="L210">
        <f t="shared" si="22"/>
        <v>7.51236706900255E-3</v>
      </c>
      <c r="M210">
        <f t="shared" si="23"/>
        <v>1.0902706262280277E-2</v>
      </c>
      <c r="N210">
        <f t="shared" si="24"/>
        <v>1.0902706262280277E-2</v>
      </c>
      <c r="P210">
        <f t="shared" si="25"/>
        <v>1.5126755849999998</v>
      </c>
      <c r="Q210">
        <f t="shared" si="26"/>
        <v>1356.5417393472796</v>
      </c>
      <c r="R210">
        <f t="shared" si="27"/>
        <v>0.17326637922042079</v>
      </c>
    </row>
    <row r="211" spans="10:18" x14ac:dyDescent="0.25">
      <c r="J211" s="108">
        <v>21.5</v>
      </c>
      <c r="K211">
        <f t="shared" si="21"/>
        <v>1.1004838784476938</v>
      </c>
      <c r="L211">
        <f t="shared" si="22"/>
        <v>7.4765382490017416E-3</v>
      </c>
      <c r="M211">
        <f t="shared" si="23"/>
        <v>1.1004838784476938E-2</v>
      </c>
      <c r="N211">
        <f t="shared" si="24"/>
        <v>1.1004838784476938E-2</v>
      </c>
      <c r="P211">
        <f t="shared" si="25"/>
        <v>1.5197441624999999</v>
      </c>
      <c r="Q211">
        <f t="shared" si="26"/>
        <v>1362.8807194376877</v>
      </c>
      <c r="R211">
        <f t="shared" si="27"/>
        <v>0.17425485975217489</v>
      </c>
    </row>
    <row r="212" spans="10:18" x14ac:dyDescent="0.25">
      <c r="J212" s="108">
        <v>21.6</v>
      </c>
      <c r="K212">
        <f t="shared" si="21"/>
        <v>1.1107447448968222</v>
      </c>
      <c r="L212">
        <f t="shared" si="22"/>
        <v>7.4409354281158475E-3</v>
      </c>
      <c r="M212">
        <f t="shared" si="23"/>
        <v>1.1107447448968221E-2</v>
      </c>
      <c r="N212">
        <f t="shared" si="24"/>
        <v>1.1107447448968221E-2</v>
      </c>
      <c r="P212">
        <f t="shared" si="25"/>
        <v>1.52681274</v>
      </c>
      <c r="Q212">
        <f t="shared" si="26"/>
        <v>1369.2196995280956</v>
      </c>
      <c r="R212">
        <f t="shared" si="27"/>
        <v>0.17524794858477638</v>
      </c>
    </row>
    <row r="213" spans="10:18" x14ac:dyDescent="0.25">
      <c r="J213" s="108">
        <v>21.7</v>
      </c>
      <c r="K213">
        <f t="shared" si="21"/>
        <v>1.1210532255754129</v>
      </c>
      <c r="L213">
        <f t="shared" si="22"/>
        <v>7.4055566655414967E-3</v>
      </c>
      <c r="M213">
        <f t="shared" si="23"/>
        <v>1.1210532255754128E-2</v>
      </c>
      <c r="N213">
        <f t="shared" si="24"/>
        <v>1.1210532255754128E-2</v>
      </c>
      <c r="P213">
        <f t="shared" si="25"/>
        <v>1.5338813174999997</v>
      </c>
      <c r="Q213">
        <f t="shared" si="26"/>
        <v>1375.558679618503</v>
      </c>
      <c r="R213">
        <f t="shared" si="27"/>
        <v>0.17624564571822521</v>
      </c>
    </row>
    <row r="214" spans="10:18" x14ac:dyDescent="0.25">
      <c r="J214" s="108">
        <v>21.8</v>
      </c>
      <c r="K214">
        <f t="shared" si="21"/>
        <v>1.1314093204834659</v>
      </c>
      <c r="L214">
        <f t="shared" si="22"/>
        <v>7.3704000431193831E-3</v>
      </c>
      <c r="M214">
        <f t="shared" si="23"/>
        <v>1.1314093204834659E-2</v>
      </c>
      <c r="N214">
        <f t="shared" si="24"/>
        <v>1.1314093204834659E-2</v>
      </c>
      <c r="P214">
        <f t="shared" si="25"/>
        <v>1.5409498949999998</v>
      </c>
      <c r="Q214">
        <f t="shared" si="26"/>
        <v>1381.8976597089111</v>
      </c>
      <c r="R214">
        <f t="shared" si="27"/>
        <v>0.17724795115252137</v>
      </c>
    </row>
    <row r="215" spans="10:18" x14ac:dyDescent="0.25">
      <c r="J215" s="108">
        <v>21.9</v>
      </c>
      <c r="K215">
        <f t="shared" si="21"/>
        <v>1.1418130296209807</v>
      </c>
      <c r="L215">
        <f t="shared" si="22"/>
        <v>7.3354636649857153E-3</v>
      </c>
      <c r="M215">
        <f t="shared" si="23"/>
        <v>1.1418130296209807E-2</v>
      </c>
      <c r="N215">
        <f t="shared" si="24"/>
        <v>1.1418130296209807E-2</v>
      </c>
      <c r="P215">
        <f t="shared" si="25"/>
        <v>1.5480184724999999</v>
      </c>
      <c r="Q215">
        <f t="shared" si="26"/>
        <v>1388.2366397993189</v>
      </c>
      <c r="R215">
        <f t="shared" si="27"/>
        <v>0.17825486488766482</v>
      </c>
    </row>
    <row r="216" spans="10:18" x14ac:dyDescent="0.25">
      <c r="J216" s="108">
        <v>22</v>
      </c>
      <c r="K216">
        <f t="shared" si="21"/>
        <v>1.1522643529879584</v>
      </c>
      <c r="L216">
        <f t="shared" si="22"/>
        <v>7.3007456572304584E-3</v>
      </c>
      <c r="M216">
        <f t="shared" si="23"/>
        <v>1.1522643529879584E-2</v>
      </c>
      <c r="N216">
        <f t="shared" si="24"/>
        <v>1.1522643529879584E-2</v>
      </c>
      <c r="P216">
        <f t="shared" si="25"/>
        <v>1.55508705</v>
      </c>
      <c r="Q216">
        <f t="shared" si="26"/>
        <v>1394.575619889727</v>
      </c>
      <c r="R216">
        <f t="shared" si="27"/>
        <v>0.17926638692365562</v>
      </c>
    </row>
    <row r="217" spans="10:18" x14ac:dyDescent="0.25">
      <c r="J217" s="108">
        <v>22.1</v>
      </c>
      <c r="K217">
        <f t="shared" si="21"/>
        <v>1.1627632905843985</v>
      </c>
      <c r="L217">
        <f t="shared" si="22"/>
        <v>7.2662441675622122E-3</v>
      </c>
      <c r="M217">
        <f t="shared" si="23"/>
        <v>1.1627632905843985E-2</v>
      </c>
      <c r="N217">
        <f t="shared" si="24"/>
        <v>1.1627632905843985E-2</v>
      </c>
      <c r="P217">
        <f t="shared" si="25"/>
        <v>1.5621556275000001</v>
      </c>
      <c r="Q217">
        <f t="shared" si="26"/>
        <v>1400.9145999801347</v>
      </c>
      <c r="R217">
        <f t="shared" si="27"/>
        <v>0.18028251726049382</v>
      </c>
    </row>
    <row r="218" spans="10:18" x14ac:dyDescent="0.25">
      <c r="J218" s="108">
        <v>22.2</v>
      </c>
      <c r="K218">
        <f t="shared" si="21"/>
        <v>1.1733098424103006</v>
      </c>
      <c r="L218">
        <f t="shared" si="22"/>
        <v>7.2319573649795724E-3</v>
      </c>
      <c r="M218">
        <f t="shared" si="23"/>
        <v>1.1733098424103005E-2</v>
      </c>
      <c r="N218">
        <f t="shared" si="24"/>
        <v>1.1733098424103005E-2</v>
      </c>
      <c r="P218">
        <f t="shared" si="25"/>
        <v>1.5692242049999998</v>
      </c>
      <c r="Q218">
        <f t="shared" si="26"/>
        <v>1407.2535800705423</v>
      </c>
      <c r="R218">
        <f t="shared" si="27"/>
        <v>0.18130325589817931</v>
      </c>
    </row>
    <row r="219" spans="10:18" x14ac:dyDescent="0.25">
      <c r="J219" s="108">
        <v>22.3</v>
      </c>
      <c r="K219">
        <f t="shared" si="21"/>
        <v>1.1839040084656649</v>
      </c>
      <c r="L219">
        <f t="shared" si="22"/>
        <v>7.197883439448818E-3</v>
      </c>
      <c r="M219">
        <f t="shared" si="23"/>
        <v>1.183904008465665E-2</v>
      </c>
      <c r="N219">
        <f t="shared" si="24"/>
        <v>1.183904008465665E-2</v>
      </c>
      <c r="P219">
        <f t="shared" si="25"/>
        <v>1.5762927824999999</v>
      </c>
      <c r="Q219">
        <f t="shared" si="26"/>
        <v>1413.5925601609501</v>
      </c>
      <c r="R219">
        <f t="shared" si="27"/>
        <v>0.18232860283671215</v>
      </c>
    </row>
    <row r="220" spans="10:18" x14ac:dyDescent="0.25">
      <c r="J220" s="108">
        <v>22.4</v>
      </c>
      <c r="K220">
        <f t="shared" si="21"/>
        <v>1.1945457887504916</v>
      </c>
      <c r="L220">
        <f t="shared" si="22"/>
        <v>7.1640206015877676E-3</v>
      </c>
      <c r="M220">
        <f t="shared" si="23"/>
        <v>1.1945457887504916E-2</v>
      </c>
      <c r="N220">
        <f t="shared" si="24"/>
        <v>1.1945457887504916E-2</v>
      </c>
      <c r="P220">
        <f t="shared" si="25"/>
        <v>1.5833613599999996</v>
      </c>
      <c r="Q220">
        <f t="shared" si="26"/>
        <v>1419.9315402513582</v>
      </c>
      <c r="R220">
        <f t="shared" si="27"/>
        <v>0.18335855807609233</v>
      </c>
    </row>
    <row r="221" spans="10:18" x14ac:dyDescent="0.25">
      <c r="J221" s="108">
        <v>22.5</v>
      </c>
      <c r="K221">
        <f t="shared" si="21"/>
        <v>1.205235183264781</v>
      </c>
      <c r="L221">
        <f t="shared" si="22"/>
        <v>7.1303670823556963E-3</v>
      </c>
      <c r="M221">
        <f t="shared" si="23"/>
        <v>1.2052351832647809E-2</v>
      </c>
      <c r="N221">
        <f t="shared" si="24"/>
        <v>1.2052351832647809E-2</v>
      </c>
      <c r="P221">
        <f t="shared" si="25"/>
        <v>1.5904299374999997</v>
      </c>
      <c r="Q221">
        <f t="shared" si="26"/>
        <v>1426.2705203417661</v>
      </c>
      <c r="R221">
        <f t="shared" si="27"/>
        <v>0.18439312161631988</v>
      </c>
    </row>
    <row r="222" spans="10:18" x14ac:dyDescent="0.25">
      <c r="J222" s="108">
        <v>22.6</v>
      </c>
      <c r="K222">
        <f t="shared" si="21"/>
        <v>1.2159721920085325</v>
      </c>
      <c r="L222">
        <f t="shared" si="22"/>
        <v>7.0969211327491242E-3</v>
      </c>
      <c r="M222">
        <f t="shared" si="23"/>
        <v>1.2159721920085326E-2</v>
      </c>
      <c r="N222">
        <f t="shared" si="24"/>
        <v>1.2159721920085326E-2</v>
      </c>
      <c r="P222">
        <f t="shared" si="25"/>
        <v>1.5974985149999998</v>
      </c>
      <c r="Q222">
        <f t="shared" si="26"/>
        <v>1432.6095004321737</v>
      </c>
      <c r="R222">
        <f t="shared" si="27"/>
        <v>0.18543229345739473</v>
      </c>
    </row>
    <row r="223" spans="10:18" x14ac:dyDescent="0.25">
      <c r="J223" s="108">
        <v>22.7</v>
      </c>
      <c r="K223">
        <f t="shared" si="21"/>
        <v>1.226756814981746</v>
      </c>
      <c r="L223">
        <f t="shared" si="22"/>
        <v>7.0636810235033647E-3</v>
      </c>
      <c r="M223">
        <f t="shared" si="23"/>
        <v>1.226756814981746E-2</v>
      </c>
      <c r="N223">
        <f t="shared" si="24"/>
        <v>1.226756814981746E-2</v>
      </c>
      <c r="P223">
        <f t="shared" si="25"/>
        <v>1.6045670925</v>
      </c>
      <c r="Q223">
        <f t="shared" si="26"/>
        <v>1438.9484805225818</v>
      </c>
      <c r="R223">
        <f t="shared" si="27"/>
        <v>0.18647607359931692</v>
      </c>
    </row>
    <row r="224" spans="10:18" x14ac:dyDescent="0.25">
      <c r="J224" s="108">
        <v>22.8</v>
      </c>
      <c r="K224">
        <f t="shared" si="21"/>
        <v>1.2375890521844222</v>
      </c>
      <c r="L224">
        <f t="shared" si="22"/>
        <v>7.0306450447996929E-3</v>
      </c>
      <c r="M224">
        <f t="shared" si="23"/>
        <v>1.2375890521844221E-2</v>
      </c>
      <c r="N224">
        <f t="shared" si="24"/>
        <v>1.2375890521844221E-2</v>
      </c>
      <c r="P224">
        <f t="shared" si="25"/>
        <v>1.6116356700000001</v>
      </c>
      <c r="Q224">
        <f t="shared" si="26"/>
        <v>1445.2874606129901</v>
      </c>
      <c r="R224">
        <f t="shared" si="27"/>
        <v>0.18752446204208645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7030-F612-415A-8C04-51CFD732D811}">
  <dimension ref="A1:AF37"/>
  <sheetViews>
    <sheetView workbookViewId="0">
      <selection activeCell="AG16" sqref="AG16"/>
    </sheetView>
  </sheetViews>
  <sheetFormatPr defaultRowHeight="15" x14ac:dyDescent="0.25"/>
  <cols>
    <col min="1" max="1" width="11.42578125" customWidth="1"/>
    <col min="4" max="4" width="18.28515625" style="5" customWidth="1"/>
    <col min="5" max="5" width="12.140625" style="27" customWidth="1"/>
    <col min="6" max="6" width="6" customWidth="1"/>
    <col min="19" max="19" width="7.28515625" customWidth="1"/>
    <col min="22" max="22" width="9.140625" style="46"/>
    <col min="25" max="25" width="5.42578125" customWidth="1"/>
    <col min="27" max="27" width="4.7109375" customWidth="1"/>
    <col min="28" max="28" width="11.85546875" customWidth="1"/>
    <col min="29" max="29" width="5.28515625" customWidth="1"/>
    <col min="31" max="31" width="4.42578125" customWidth="1"/>
  </cols>
  <sheetData>
    <row r="1" spans="1:32" x14ac:dyDescent="0.25">
      <c r="C1" s="17" t="s">
        <v>142</v>
      </c>
      <c r="D1" s="16"/>
      <c r="E1" s="16"/>
      <c r="F1" s="16"/>
      <c r="H1" s="8" t="s">
        <v>107</v>
      </c>
      <c r="I1" s="8">
        <f>3.1934*C20*100-16.666</f>
        <v>15.268000000000001</v>
      </c>
      <c r="J1" s="8"/>
      <c r="K1" s="8" t="s">
        <v>114</v>
      </c>
      <c r="L1" s="8">
        <f>0.119445/(C20*100)^(8/3)+0.000236</f>
        <v>4.9333645155085815E-4</v>
      </c>
    </row>
    <row r="2" spans="1:32" x14ac:dyDescent="0.25">
      <c r="H2" s="8" t="s">
        <v>110</v>
      </c>
      <c r="I2" s="8">
        <f>6.1343/C20/100</f>
        <v>0.61342999999999992</v>
      </c>
      <c r="J2" s="8"/>
      <c r="K2" s="8" t="s">
        <v>115</v>
      </c>
      <c r="L2" s="8">
        <f>0.3553/C20/C20/10000+0.0014</f>
        <v>4.9529999999999991E-3</v>
      </c>
    </row>
    <row r="3" spans="1:32" x14ac:dyDescent="0.25">
      <c r="H3" s="8" t="s">
        <v>111</v>
      </c>
      <c r="I3" s="8">
        <f>0.0022/(C20*100)^2+0.1364/C20/100</f>
        <v>1.3661999999999999E-2</v>
      </c>
      <c r="J3" s="8"/>
      <c r="K3" s="8" t="s">
        <v>116</v>
      </c>
      <c r="L3" s="8">
        <f>L1*C$25^(2/3)+L2</f>
        <v>1.2087852490337146E-2</v>
      </c>
      <c r="M3" t="s">
        <v>140</v>
      </c>
      <c r="N3">
        <f>L3*(COS(3.14159*C21/180))^0.6</f>
        <v>9.8183910601710115E-3</v>
      </c>
    </row>
    <row r="4" spans="1:32" x14ac:dyDescent="0.25">
      <c r="H4" s="8" t="s">
        <v>112</v>
      </c>
      <c r="I4" s="8">
        <f>12/C20/C20/10000+4.1273/C20/100+0.9956</f>
        <v>1.52833</v>
      </c>
      <c r="J4" s="8"/>
      <c r="K4" s="8" t="s">
        <v>117</v>
      </c>
      <c r="L4" s="8">
        <f>I1*L3+I2</f>
        <v>0.7979873318224675</v>
      </c>
      <c r="M4" t="s">
        <v>139</v>
      </c>
      <c r="N4">
        <f>L4*(90-C21)/73+0.8*SIN(3.14159*(C21-17)/73)</f>
        <v>1.2389794908700158</v>
      </c>
    </row>
    <row r="5" spans="1:32" x14ac:dyDescent="0.25">
      <c r="H5" s="8" t="s">
        <v>113</v>
      </c>
      <c r="I5" s="8">
        <f>0.5213/C20/100+0.0659</f>
        <v>0.11803</v>
      </c>
      <c r="J5" s="8"/>
      <c r="K5" s="8" t="s">
        <v>118</v>
      </c>
      <c r="L5" s="8">
        <f>L4-I5</f>
        <v>0.67995733182246754</v>
      </c>
      <c r="M5" t="s">
        <v>141</v>
      </c>
      <c r="N5">
        <f>N4-I5</f>
        <v>1.1209494908700157</v>
      </c>
    </row>
    <row r="6" spans="1:32" x14ac:dyDescent="0.25">
      <c r="X6" s="17" t="s">
        <v>50</v>
      </c>
      <c r="Y6" s="17"/>
      <c r="Z6" s="17"/>
      <c r="AA6" s="16"/>
    </row>
    <row r="7" spans="1:32" x14ac:dyDescent="0.25">
      <c r="B7" s="6" t="s">
        <v>7</v>
      </c>
      <c r="C7" s="6">
        <v>3</v>
      </c>
      <c r="D7" s="5" t="s">
        <v>24</v>
      </c>
      <c r="Y7" s="103" t="s">
        <v>51</v>
      </c>
      <c r="Z7" s="103"/>
      <c r="AA7" s="103"/>
      <c r="AB7" s="103"/>
      <c r="AC7" s="104" t="s">
        <v>52</v>
      </c>
      <c r="AD7" s="104"/>
      <c r="AE7" s="104"/>
      <c r="AF7" s="104"/>
    </row>
    <row r="8" spans="1:32" ht="18.75" x14ac:dyDescent="0.35">
      <c r="A8" s="5"/>
      <c r="B8" s="6" t="s">
        <v>0</v>
      </c>
      <c r="C8" s="6">
        <v>5.0000000000000001E-3</v>
      </c>
      <c r="D8" s="5" t="s">
        <v>41</v>
      </c>
      <c r="K8" s="14" t="s">
        <v>47</v>
      </c>
      <c r="L8" s="12">
        <f>C10*1000/24/3600</f>
        <v>1.2731481481481481</v>
      </c>
      <c r="M8" s="15" t="s">
        <v>48</v>
      </c>
      <c r="N8" s="88"/>
      <c r="O8" s="88"/>
      <c r="P8" s="88"/>
      <c r="Q8" s="88"/>
      <c r="R8" s="88"/>
      <c r="S8" s="5"/>
      <c r="Y8" s="102">
        <v>1</v>
      </c>
      <c r="Z8" s="102" t="s">
        <v>143</v>
      </c>
      <c r="AA8" s="102">
        <v>2</v>
      </c>
      <c r="AB8" s="105" t="s">
        <v>6</v>
      </c>
      <c r="AC8" s="106"/>
      <c r="AD8" s="106" t="s">
        <v>143</v>
      </c>
      <c r="AE8" s="106"/>
      <c r="AF8" s="106" t="s">
        <v>6</v>
      </c>
    </row>
    <row r="9" spans="1:32" ht="17.25" x14ac:dyDescent="0.25">
      <c r="A9" s="5"/>
      <c r="B9" s="6" t="s">
        <v>1</v>
      </c>
      <c r="C9" s="6">
        <v>5.0000000000000004E-6</v>
      </c>
      <c r="D9" s="5" t="s">
        <v>42</v>
      </c>
      <c r="G9" s="19" t="s">
        <v>46</v>
      </c>
      <c r="H9" s="19" t="s">
        <v>24</v>
      </c>
      <c r="I9" s="19" t="s">
        <v>36</v>
      </c>
      <c r="J9" s="19"/>
      <c r="K9" s="19" t="s">
        <v>44</v>
      </c>
      <c r="L9" s="19" t="s">
        <v>45</v>
      </c>
      <c r="M9" s="19"/>
      <c r="N9" s="19"/>
      <c r="O9" s="19" t="s">
        <v>126</v>
      </c>
      <c r="P9" s="19" t="s">
        <v>127</v>
      </c>
      <c r="Q9" s="19" t="s">
        <v>128</v>
      </c>
      <c r="R9" s="19"/>
      <c r="S9" s="19" t="s">
        <v>31</v>
      </c>
      <c r="T9" s="19" t="s">
        <v>24</v>
      </c>
      <c r="U9" s="44" t="s">
        <v>24</v>
      </c>
      <c r="V9" s="47"/>
      <c r="W9" s="5"/>
      <c r="Y9" s="20" t="s">
        <v>19</v>
      </c>
      <c r="Z9" s="20">
        <f>0.03419*C18/1.205*G11/J11/C15*COS(C21*3.14159/180)</f>
        <v>5.7366625466591839E-2</v>
      </c>
      <c r="AA9" s="21" t="s">
        <v>20</v>
      </c>
      <c r="AB9" s="21">
        <f>0.03419*C18/1.205*G11/J11/C15</f>
        <v>8.1128605941939644E-2</v>
      </c>
      <c r="AC9" s="20" t="s">
        <v>19</v>
      </c>
      <c r="AD9" s="20">
        <f>0.03419*C18/1.205*G11*COS(C21*3.14159/180)/Z14/C15</f>
        <v>5.7718648922737738E-2</v>
      </c>
      <c r="AE9" s="21" t="s">
        <v>20</v>
      </c>
      <c r="AF9" s="21">
        <f>0.03419*C18/1.205*G11/Z14/C15</f>
        <v>8.1626441957631579E-2</v>
      </c>
    </row>
    <row r="10" spans="1:32" ht="18" x14ac:dyDescent="0.3">
      <c r="B10" s="6" t="s">
        <v>5</v>
      </c>
      <c r="C10" s="6">
        <v>110</v>
      </c>
      <c r="D10" s="5" t="s">
        <v>43</v>
      </c>
      <c r="E10" s="28" t="s">
        <v>70</v>
      </c>
      <c r="F10" s="6"/>
      <c r="G10" s="33" t="s">
        <v>6</v>
      </c>
      <c r="H10" s="34" t="s">
        <v>8</v>
      </c>
      <c r="I10" s="34" t="s">
        <v>4</v>
      </c>
      <c r="J10" s="34" t="s">
        <v>10</v>
      </c>
      <c r="K10" s="72" t="s">
        <v>88</v>
      </c>
      <c r="L10" s="57" t="s">
        <v>3</v>
      </c>
      <c r="M10" s="34" t="s">
        <v>119</v>
      </c>
      <c r="N10" s="34" t="s">
        <v>122</v>
      </c>
      <c r="O10" s="34" t="s">
        <v>120</v>
      </c>
      <c r="P10" s="34" t="s">
        <v>121</v>
      </c>
      <c r="Q10" s="34" t="s">
        <v>123</v>
      </c>
      <c r="R10" s="34" t="s">
        <v>124</v>
      </c>
      <c r="S10" s="34" t="s">
        <v>30</v>
      </c>
      <c r="T10" s="34" t="s">
        <v>18</v>
      </c>
      <c r="U10" s="45" t="s">
        <v>8</v>
      </c>
      <c r="V10" s="47"/>
      <c r="W10" s="42"/>
      <c r="Y10" s="20" t="s">
        <v>32</v>
      </c>
      <c r="Z10" s="20">
        <f>EXP(-2*Z9)</f>
        <v>0.89160394670933796</v>
      </c>
      <c r="AA10" s="21"/>
      <c r="AB10" s="21">
        <f t="shared" ref="AB10" si="0">EXP(-2*AB9)</f>
        <v>0.8502224890851976</v>
      </c>
      <c r="AC10" s="20"/>
      <c r="AD10" s="20">
        <f>EXP(-2*AD9)</f>
        <v>0.89097643662785819</v>
      </c>
      <c r="AE10" s="21"/>
      <c r="AF10" s="21">
        <f t="shared" ref="AF10" si="1">EXP(-2*AF9)</f>
        <v>0.84937636763199598</v>
      </c>
    </row>
    <row r="11" spans="1:32" x14ac:dyDescent="0.25">
      <c r="B11" s="12" t="s">
        <v>9</v>
      </c>
      <c r="C11" s="12">
        <f>(C7^2-C8*C10-C9*C10^2)^0.5</f>
        <v>2.8964633607211399</v>
      </c>
      <c r="D11" s="5" t="s">
        <v>24</v>
      </c>
      <c r="F11" s="6">
        <v>0</v>
      </c>
      <c r="G11" s="6">
        <v>1200</v>
      </c>
      <c r="H11" s="6">
        <f>C11</f>
        <v>2.8964633607211399</v>
      </c>
      <c r="I11" s="6">
        <f>C13</f>
        <v>305.14999999999998</v>
      </c>
      <c r="J11" s="8">
        <f>1/(1+(98-0.27*I11)*H11/10000*1000000/98066.5)</f>
        <v>0.95592811844703995</v>
      </c>
      <c r="K11" s="8">
        <f>C$18*H11/I11/J11*293.15*1000000/101325</f>
        <v>19.247641330305306</v>
      </c>
      <c r="L11" s="58">
        <f>L$8*C$18/K11/(3.14159*C$20^2/4)</f>
        <v>5.6426967837442605</v>
      </c>
      <c r="M11" s="59">
        <f>K11*L11^2/C$28/9.80665/C$20</f>
        <v>0.62492841032753355</v>
      </c>
      <c r="N11" s="89">
        <f>I$3*((N$5-M11)/(M11+0.001))^I$4+1.5*N$3/(1-N$3)</f>
        <v>2.4448107455968617E-2</v>
      </c>
      <c r="O11" s="74">
        <f>N$3+C$19/2*(M11-N$4)</f>
        <v>5.5200334963736355E-3</v>
      </c>
      <c r="P11" s="74">
        <f>N$3</f>
        <v>9.8183910601710115E-3</v>
      </c>
      <c r="Q11" s="74">
        <f>N11/(N11+1.5)</f>
        <v>1.6037349737517886E-2</v>
      </c>
      <c r="R11" s="74">
        <f>IF(M11&gt;N$4,O11,IF(M11&lt;N$5,Q11,P11))</f>
        <v>1.6037349737517886E-2</v>
      </c>
      <c r="S11" s="10">
        <f>(R11*C$28+K11*COS(C$21*3.14159/180))*9.80665</f>
        <v>290.74262128646353</v>
      </c>
      <c r="T11" s="8">
        <f t="shared" ref="T11:T22" si="2">(S11*(G11-G12))/1000000</f>
        <v>2.9074262128646354E-2</v>
      </c>
      <c r="U11" s="8">
        <f t="shared" ref="U11:U22" si="3">H11-T11</f>
        <v>2.8673890985924935</v>
      </c>
      <c r="W11" s="41"/>
      <c r="Y11" s="20" t="s">
        <v>33</v>
      </c>
      <c r="Z11" s="20">
        <f>(($H11*10.197)^2*Z10+1.377*$C19*J11^2*C15^2/(C20*100)^5*(AB10-1)*C10^2)^0.5</f>
        <v>27.38885443352865</v>
      </c>
      <c r="AA11" s="21"/>
      <c r="AB11" s="100"/>
      <c r="AC11" s="20"/>
      <c r="AD11" s="20">
        <f>(($H11*10.197)^2*AD10+1.377*$C19*Z14^2*C15^2/(C20*100)^5*(AF10-1)*C10^2)^0.5</f>
        <v>27.382178901352592</v>
      </c>
      <c r="AE11" s="21"/>
      <c r="AF11" s="21"/>
    </row>
    <row r="12" spans="1:32" x14ac:dyDescent="0.25">
      <c r="F12" s="6">
        <v>1</v>
      </c>
      <c r="G12" s="6">
        <v>1100</v>
      </c>
      <c r="H12" s="8">
        <f>U11</f>
        <v>2.8673890985924935</v>
      </c>
      <c r="I12" s="8">
        <f>I11-C$16</f>
        <v>303.31666666666666</v>
      </c>
      <c r="J12" s="8">
        <f t="shared" ref="J12:J23" si="4">1/(1+(98-0.27*I12)*H12/10000*1000000/98066.5)</f>
        <v>0.95502927547230887</v>
      </c>
      <c r="K12" s="8">
        <f t="shared" ref="K12:K23" si="5">C$18*H12/I12/J12*293.15*1000000/101325</f>
        <v>19.187648735559854</v>
      </c>
      <c r="L12" s="58">
        <f t="shared" ref="L12:L22" si="6">L$8*C$18/K12/(3.14159*C$20^2/4)</f>
        <v>5.6603393842569147</v>
      </c>
      <c r="M12" s="59">
        <f t="shared" ref="M12:M22" si="7">K12*L12^2/C$28/9.80665/C$20</f>
        <v>0.62688232752616435</v>
      </c>
      <c r="N12" s="89">
        <f t="shared" ref="N12:N22" si="8">I$3*((N$5-M12)/(M12+0.001))^I$4+1.5*N$3/(1-N$3)</f>
        <v>2.4345300030468298E-2</v>
      </c>
      <c r="O12" s="74">
        <f t="shared" ref="O12:O22" si="9">N$3+C$19/2*(M12-N$4)</f>
        <v>5.5337109167640517E-3</v>
      </c>
      <c r="P12" s="74">
        <f t="shared" ref="P12:P22" si="10">N$3</f>
        <v>9.8183910601710115E-3</v>
      </c>
      <c r="Q12" s="74">
        <f t="shared" ref="Q12:Q22" si="11">N12/(N12+1.5)</f>
        <v>1.5970987695492413E-2</v>
      </c>
      <c r="R12" s="74">
        <f t="shared" ref="R12:R22" si="12">IF(M12&gt;N$4,O12,IF(M12&lt;N$5,Q12,P12))</f>
        <v>1.5970987695492413E-2</v>
      </c>
      <c r="S12" s="10">
        <f t="shared" ref="S12:S22" si="13">(R12*C$28+K12*COS(C$21*3.14159/180))*9.80665</f>
        <v>289.67582211872883</v>
      </c>
      <c r="T12" s="8">
        <f t="shared" si="2"/>
        <v>2.8967582211872882E-2</v>
      </c>
      <c r="U12" s="8">
        <f t="shared" si="3"/>
        <v>2.8384215163806208</v>
      </c>
      <c r="W12" s="41"/>
      <c r="Y12" s="4"/>
      <c r="Z12" s="4"/>
      <c r="AB12" s="101"/>
      <c r="AD12" s="16">
        <f>AD11/10.197</f>
        <v>2.6853171424294002</v>
      </c>
    </row>
    <row r="13" spans="1:32" x14ac:dyDescent="0.25">
      <c r="A13">
        <v>32</v>
      </c>
      <c r="B13" s="6" t="s">
        <v>11</v>
      </c>
      <c r="C13" s="6">
        <f>A13+273.15</f>
        <v>305.14999999999998</v>
      </c>
      <c r="D13" s="5" t="s">
        <v>36</v>
      </c>
      <c r="F13" s="6">
        <v>2</v>
      </c>
      <c r="G13" s="6">
        <v>1000</v>
      </c>
      <c r="H13" s="8">
        <f t="shared" ref="H13:H22" si="14">U12</f>
        <v>2.8384215163806208</v>
      </c>
      <c r="I13" s="8">
        <f t="shared" ref="I13:I23" si="15">I12-C$16</f>
        <v>301.48333333333335</v>
      </c>
      <c r="J13" s="8">
        <f t="shared" si="4"/>
        <v>0.95415719824129686</v>
      </c>
      <c r="K13" s="8">
        <f t="shared" si="5"/>
        <v>19.126774590320178</v>
      </c>
      <c r="L13" s="58">
        <f t="shared" si="6"/>
        <v>5.6783543569412016</v>
      </c>
      <c r="M13" s="59">
        <f t="shared" si="7"/>
        <v>0.62887748492574647</v>
      </c>
      <c r="N13" s="89">
        <f t="shared" si="8"/>
        <v>2.4241373713553727E-2</v>
      </c>
      <c r="O13" s="74">
        <f t="shared" si="9"/>
        <v>5.5476770185611257E-3</v>
      </c>
      <c r="P13" s="74">
        <f t="shared" si="10"/>
        <v>9.8183910601710115E-3</v>
      </c>
      <c r="Q13" s="74">
        <f t="shared" si="11"/>
        <v>1.5903894312023402E-2</v>
      </c>
      <c r="R13" s="74">
        <f t="shared" si="12"/>
        <v>1.5903894312023402E-2</v>
      </c>
      <c r="S13" s="10">
        <f t="shared" si="13"/>
        <v>288.59573795883398</v>
      </c>
      <c r="T13" s="8">
        <f t="shared" si="2"/>
        <v>2.88595737958834E-2</v>
      </c>
      <c r="U13" s="8">
        <f t="shared" si="3"/>
        <v>2.8095619425847373</v>
      </c>
      <c r="W13" s="1"/>
      <c r="Y13" s="20" t="s">
        <v>21</v>
      </c>
      <c r="Z13" s="20">
        <f>1/(1+(98-0.27*C14)*Z11/10000)</f>
        <v>0.94426779283778239</v>
      </c>
    </row>
    <row r="14" spans="1:32" x14ac:dyDescent="0.25">
      <c r="A14">
        <v>10</v>
      </c>
      <c r="B14" s="6" t="s">
        <v>12</v>
      </c>
      <c r="C14" s="6">
        <f>A14+273.15</f>
        <v>283.14999999999998</v>
      </c>
      <c r="D14" s="5" t="s">
        <v>36</v>
      </c>
      <c r="F14" s="6">
        <v>3</v>
      </c>
      <c r="G14" s="6">
        <v>900</v>
      </c>
      <c r="H14" s="8">
        <f t="shared" si="14"/>
        <v>2.8095619425847373</v>
      </c>
      <c r="I14" s="8">
        <f t="shared" si="15"/>
        <v>299.65000000000003</v>
      </c>
      <c r="J14" s="8">
        <f t="shared" si="4"/>
        <v>0.95331157693921775</v>
      </c>
      <c r="K14" s="8">
        <f t="shared" si="5"/>
        <v>19.065032552198211</v>
      </c>
      <c r="L14" s="58">
        <f t="shared" si="6"/>
        <v>5.6967436867373298</v>
      </c>
      <c r="M14" s="59">
        <f t="shared" si="7"/>
        <v>0.6309141023583168</v>
      </c>
      <c r="N14" s="89">
        <f t="shared" si="8"/>
        <v>2.4136370224252333E-2</v>
      </c>
      <c r="O14" s="74">
        <f t="shared" si="9"/>
        <v>5.5619333405891183E-3</v>
      </c>
      <c r="P14" s="74">
        <f t="shared" si="10"/>
        <v>9.8183910601710115E-3</v>
      </c>
      <c r="Q14" s="74">
        <f t="shared" si="11"/>
        <v>1.5836096228515992E-2</v>
      </c>
      <c r="R14" s="74">
        <f t="shared" si="12"/>
        <v>1.5836096228515992E-2</v>
      </c>
      <c r="S14" s="10">
        <f t="shared" si="13"/>
        <v>287.50272477642147</v>
      </c>
      <c r="T14" s="8">
        <f t="shared" si="2"/>
        <v>2.8750272477642145E-2</v>
      </c>
      <c r="U14" s="8">
        <f t="shared" si="3"/>
        <v>2.7808116701070951</v>
      </c>
      <c r="W14" s="1"/>
      <c r="Y14" s="20" t="s">
        <v>22</v>
      </c>
      <c r="Z14" s="20">
        <f>(Z13+J11)/2</f>
        <v>0.95009795564241117</v>
      </c>
    </row>
    <row r="15" spans="1:32" x14ac:dyDescent="0.25">
      <c r="B15" s="8" t="s">
        <v>13</v>
      </c>
      <c r="C15" s="8">
        <f>(C13+C14)/2</f>
        <v>294.14999999999998</v>
      </c>
      <c r="D15" s="5" t="s">
        <v>36</v>
      </c>
      <c r="F15" s="6">
        <v>4</v>
      </c>
      <c r="G15" s="6">
        <v>800</v>
      </c>
      <c r="H15" s="8">
        <f t="shared" si="14"/>
        <v>2.7808116701070951</v>
      </c>
      <c r="I15" s="8">
        <f t="shared" si="15"/>
        <v>297.81666666666672</v>
      </c>
      <c r="J15" s="8">
        <f t="shared" si="4"/>
        <v>0.95249210575179932</v>
      </c>
      <c r="K15" s="8">
        <f t="shared" si="5"/>
        <v>19.002436187036498</v>
      </c>
      <c r="L15" s="58">
        <f t="shared" si="6"/>
        <v>5.7155094620588622</v>
      </c>
      <c r="M15" s="59">
        <f t="shared" si="7"/>
        <v>0.63299241111558235</v>
      </c>
      <c r="N15" s="89">
        <f t="shared" si="8"/>
        <v>2.4030331143765765E-2</v>
      </c>
      <c r="O15" s="74">
        <f t="shared" si="9"/>
        <v>5.5764815018899769E-3</v>
      </c>
      <c r="P15" s="74">
        <f t="shared" si="10"/>
        <v>9.8183910601710115E-3</v>
      </c>
      <c r="Q15" s="74">
        <f t="shared" si="11"/>
        <v>1.5767620009065897E-2</v>
      </c>
      <c r="R15" s="74">
        <f t="shared" si="12"/>
        <v>1.5767620009065897E-2</v>
      </c>
      <c r="S15" s="10">
        <f t="shared" si="13"/>
        <v>286.3971371466256</v>
      </c>
      <c r="T15" s="8">
        <f t="shared" si="2"/>
        <v>2.8639713714662562E-2</v>
      </c>
      <c r="U15" s="8">
        <f t="shared" si="3"/>
        <v>2.7521719563924325</v>
      </c>
      <c r="W15" s="1"/>
    </row>
    <row r="16" spans="1:32" x14ac:dyDescent="0.25">
      <c r="B16" s="8" t="s">
        <v>14</v>
      </c>
      <c r="C16" s="8">
        <f>(C13-C14)/F23</f>
        <v>1.8333333333333333</v>
      </c>
      <c r="D16" s="5" t="s">
        <v>36</v>
      </c>
      <c r="F16" s="6">
        <v>5</v>
      </c>
      <c r="G16" s="6">
        <v>700</v>
      </c>
      <c r="H16" s="8">
        <f t="shared" si="14"/>
        <v>2.7521719563924325</v>
      </c>
      <c r="I16" s="8">
        <f t="shared" si="15"/>
        <v>295.98333333333341</v>
      </c>
      <c r="J16" s="8">
        <f t="shared" si="4"/>
        <v>0.9516984828087478</v>
      </c>
      <c r="K16" s="8">
        <f t="shared" si="5"/>
        <v>18.938998961457472</v>
      </c>
      <c r="L16" s="58">
        <f t="shared" si="6"/>
        <v>5.734653877441195</v>
      </c>
      <c r="M16" s="59">
        <f t="shared" si="7"/>
        <v>0.63511265424223728</v>
      </c>
      <c r="N16" s="89">
        <f t="shared" si="8"/>
        <v>2.39232978969364E-2</v>
      </c>
      <c r="O16" s="74">
        <f t="shared" si="9"/>
        <v>5.5913232037765621E-3</v>
      </c>
      <c r="P16" s="74">
        <f t="shared" si="10"/>
        <v>9.8183910601710115E-3</v>
      </c>
      <c r="Q16" s="74">
        <f t="shared" si="11"/>
        <v>1.5698492128804205E-2</v>
      </c>
      <c r="R16" s="74">
        <f t="shared" si="12"/>
        <v>1.5698492128804205E-2</v>
      </c>
      <c r="S16" s="10">
        <f t="shared" si="13"/>
        <v>285.27932808410861</v>
      </c>
      <c r="T16" s="8">
        <f t="shared" si="2"/>
        <v>2.8527932808410861E-2</v>
      </c>
      <c r="U16" s="8">
        <f t="shared" si="3"/>
        <v>2.7236440235840216</v>
      </c>
      <c r="W16" s="1"/>
    </row>
    <row r="17" spans="1:23" x14ac:dyDescent="0.25">
      <c r="F17" s="6">
        <v>6</v>
      </c>
      <c r="G17" s="6">
        <v>600</v>
      </c>
      <c r="H17" s="8">
        <f t="shared" si="14"/>
        <v>2.7236440235840216</v>
      </c>
      <c r="I17" s="8">
        <f t="shared" si="15"/>
        <v>294.15000000000009</v>
      </c>
      <c r="J17" s="8">
        <f t="shared" si="4"/>
        <v>0.95093041012830404</v>
      </c>
      <c r="K17" s="8">
        <f t="shared" si="5"/>
        <v>18.874734235514968</v>
      </c>
      <c r="L17" s="58">
        <f t="shared" si="6"/>
        <v>5.7541792363262712</v>
      </c>
      <c r="M17" s="59">
        <f t="shared" si="7"/>
        <v>0.63727508684437129</v>
      </c>
      <c r="N17" s="89">
        <f t="shared" si="8"/>
        <v>2.3815311734479826E-2</v>
      </c>
      <c r="O17" s="74">
        <f t="shared" si="9"/>
        <v>5.6064602319914995E-3</v>
      </c>
      <c r="P17" s="74">
        <f t="shared" si="10"/>
        <v>9.8183910601710115E-3</v>
      </c>
      <c r="Q17" s="74">
        <f t="shared" si="11"/>
        <v>1.5628738962710706E-2</v>
      </c>
      <c r="R17" s="74">
        <f t="shared" si="12"/>
        <v>1.5628738962710706E-2</v>
      </c>
      <c r="S17" s="10">
        <f t="shared" si="13"/>
        <v>284.14964888239973</v>
      </c>
      <c r="T17" s="8">
        <f t="shared" si="2"/>
        <v>2.8414964888239976E-2</v>
      </c>
      <c r="U17" s="8">
        <f t="shared" si="3"/>
        <v>2.6952290586957814</v>
      </c>
      <c r="W17" s="1"/>
    </row>
    <row r="18" spans="1:23" x14ac:dyDescent="0.25">
      <c r="A18" t="s">
        <v>38</v>
      </c>
      <c r="B18" s="6" t="s">
        <v>15</v>
      </c>
      <c r="C18" s="6">
        <v>0.67</v>
      </c>
      <c r="D18" s="5" t="s">
        <v>37</v>
      </c>
      <c r="F18" s="6">
        <v>7</v>
      </c>
      <c r="G18" s="6">
        <v>500</v>
      </c>
      <c r="H18" s="8">
        <f t="shared" si="14"/>
        <v>2.6952290586957814</v>
      </c>
      <c r="I18" s="8">
        <f t="shared" si="15"/>
        <v>292.31666666666678</v>
      </c>
      <c r="J18" s="8">
        <f t="shared" si="4"/>
        <v>0.95018759356286686</v>
      </c>
      <c r="K18" s="8">
        <f t="shared" si="5"/>
        <v>18.809655255445946</v>
      </c>
      <c r="L18" s="58">
        <f t="shared" si="6"/>
        <v>5.7740879539900902</v>
      </c>
      <c r="M18" s="59">
        <f t="shared" si="7"/>
        <v>0.6394799764136907</v>
      </c>
      <c r="N18" s="89">
        <f t="shared" si="8"/>
        <v>2.3706413715991258E-2</v>
      </c>
      <c r="O18" s="74">
        <f t="shared" si="9"/>
        <v>5.6218944589767356E-3</v>
      </c>
      <c r="P18" s="74">
        <f t="shared" si="10"/>
        <v>9.8183910601710115E-3</v>
      </c>
      <c r="Q18" s="74">
        <f t="shared" si="11"/>
        <v>1.5558386774901361E-2</v>
      </c>
      <c r="R18" s="74">
        <f t="shared" si="12"/>
        <v>1.5558386774901361E-2</v>
      </c>
      <c r="S18" s="10">
        <f t="shared" si="13"/>
        <v>283.00844895857892</v>
      </c>
      <c r="T18" s="8">
        <f t="shared" si="2"/>
        <v>2.8300844895857893E-2</v>
      </c>
      <c r="U18" s="8">
        <f t="shared" si="3"/>
        <v>2.6669282137999235</v>
      </c>
      <c r="W18" s="1"/>
    </row>
    <row r="19" spans="1:23" x14ac:dyDescent="0.25">
      <c r="B19" s="6" t="s">
        <v>16</v>
      </c>
      <c r="C19" s="6">
        <v>1.4E-2</v>
      </c>
      <c r="F19" s="6">
        <v>8</v>
      </c>
      <c r="G19" s="6">
        <v>400</v>
      </c>
      <c r="H19" s="8">
        <f t="shared" si="14"/>
        <v>2.6669282137999235</v>
      </c>
      <c r="I19" s="8">
        <f t="shared" si="15"/>
        <v>290.48333333333346</v>
      </c>
      <c r="J19" s="8">
        <f t="shared" si="4"/>
        <v>0.94946974274563889</v>
      </c>
      <c r="K19" s="8">
        <f t="shared" si="5"/>
        <v>18.743775146520871</v>
      </c>
      <c r="L19" s="58">
        <f t="shared" si="6"/>
        <v>5.7943825606196651</v>
      </c>
      <c r="M19" s="59">
        <f t="shared" si="7"/>
        <v>0.64172760316829136</v>
      </c>
      <c r="N19" s="89">
        <f t="shared" si="8"/>
        <v>2.3596644693734681E-2</v>
      </c>
      <c r="O19" s="74">
        <f t="shared" si="9"/>
        <v>5.6376278462589406E-3</v>
      </c>
      <c r="P19" s="74">
        <f t="shared" si="10"/>
        <v>9.8183910601710115E-3</v>
      </c>
      <c r="Q19" s="74">
        <f t="shared" si="11"/>
        <v>1.5487461708395893E-2</v>
      </c>
      <c r="R19" s="74">
        <f t="shared" si="12"/>
        <v>1.5487461708395893E-2</v>
      </c>
      <c r="S19" s="10">
        <f t="shared" si="13"/>
        <v>281.85607570335327</v>
      </c>
      <c r="T19" s="8">
        <f t="shared" si="2"/>
        <v>2.8185607570335326E-2</v>
      </c>
      <c r="U19" s="8">
        <f t="shared" si="3"/>
        <v>2.638742606229588</v>
      </c>
      <c r="W19" s="1"/>
    </row>
    <row r="20" spans="1:23" x14ac:dyDescent="0.25">
      <c r="B20" s="6" t="s">
        <v>17</v>
      </c>
      <c r="C20" s="6">
        <v>0.1</v>
      </c>
      <c r="D20" s="5" t="s">
        <v>39</v>
      </c>
      <c r="F20" s="6">
        <v>9</v>
      </c>
      <c r="G20" s="6">
        <v>300</v>
      </c>
      <c r="H20" s="8">
        <f t="shared" si="14"/>
        <v>2.638742606229588</v>
      </c>
      <c r="I20" s="8">
        <f t="shared" si="15"/>
        <v>288.65000000000015</v>
      </c>
      <c r="J20" s="8">
        <f t="shared" si="4"/>
        <v>0.94877657103826762</v>
      </c>
      <c r="K20" s="8">
        <f t="shared" si="5"/>
        <v>18.677106905990193</v>
      </c>
      <c r="L20" s="58">
        <f t="shared" si="6"/>
        <v>5.8150657045467504</v>
      </c>
      <c r="M20" s="59">
        <f t="shared" si="7"/>
        <v>0.6440182604107938</v>
      </c>
      <c r="N20" s="89">
        <f t="shared" si="8"/>
        <v>2.3486045297221779E-2</v>
      </c>
      <c r="O20" s="74">
        <f t="shared" si="9"/>
        <v>5.6536624469564574E-3</v>
      </c>
      <c r="P20" s="74">
        <f t="shared" si="10"/>
        <v>9.8183910601710115E-3</v>
      </c>
      <c r="Q20" s="74">
        <f t="shared" si="11"/>
        <v>1.5415989775370611E-2</v>
      </c>
      <c r="R20" s="74">
        <f t="shared" si="12"/>
        <v>1.5415989775370611E-2</v>
      </c>
      <c r="S20" s="10">
        <f t="shared" si="13"/>
        <v>280.69287433655842</v>
      </c>
      <c r="T20" s="8">
        <f t="shared" si="2"/>
        <v>2.8069287433655842E-2</v>
      </c>
      <c r="U20" s="8">
        <f t="shared" si="3"/>
        <v>2.6106733187959321</v>
      </c>
      <c r="W20" s="1"/>
    </row>
    <row r="21" spans="1:23" x14ac:dyDescent="0.25">
      <c r="B21" s="98" t="s">
        <v>0</v>
      </c>
      <c r="C21" s="99">
        <v>45</v>
      </c>
      <c r="D21" s="5" t="s">
        <v>138</v>
      </c>
      <c r="F21" s="6">
        <v>10</v>
      </c>
      <c r="G21" s="6">
        <v>200</v>
      </c>
      <c r="H21" s="8">
        <f t="shared" si="14"/>
        <v>2.6106733187959321</v>
      </c>
      <c r="I21" s="8">
        <f t="shared" si="15"/>
        <v>286.81666666666683</v>
      </c>
      <c r="J21" s="8">
        <f t="shared" si="4"/>
        <v>0.94810779547944501</v>
      </c>
      <c r="K21" s="8">
        <f t="shared" si="5"/>
        <v>18.609663396124404</v>
      </c>
      <c r="L21" s="58">
        <f t="shared" si="6"/>
        <v>5.8361401556459835</v>
      </c>
      <c r="M21" s="59">
        <f t="shared" si="7"/>
        <v>0.6463522549046874</v>
      </c>
      <c r="N21" s="89">
        <f t="shared" si="8"/>
        <v>2.337465591858786E-2</v>
      </c>
      <c r="O21" s="74">
        <f t="shared" si="9"/>
        <v>5.6700004084137123E-3</v>
      </c>
      <c r="P21" s="74">
        <f t="shared" si="10"/>
        <v>9.8183910601710115E-3</v>
      </c>
      <c r="Q21" s="74">
        <f t="shared" si="11"/>
        <v>1.534399684790151E-2</v>
      </c>
      <c r="R21" s="74">
        <f t="shared" si="12"/>
        <v>1.534399684790151E-2</v>
      </c>
      <c r="S21" s="10">
        <f t="shared" si="13"/>
        <v>279.51918776811635</v>
      </c>
      <c r="T21" s="8">
        <f t="shared" si="2"/>
        <v>2.7951918776811635E-2</v>
      </c>
      <c r="U21" s="8">
        <f t="shared" si="3"/>
        <v>2.5827214000191203</v>
      </c>
      <c r="W21" s="1"/>
    </row>
    <row r="22" spans="1:23" x14ac:dyDescent="0.25">
      <c r="A22" s="5"/>
      <c r="B22" s="86"/>
      <c r="C22" s="5"/>
      <c r="F22" s="6">
        <v>11</v>
      </c>
      <c r="G22" s="6">
        <v>100</v>
      </c>
      <c r="H22" s="8">
        <f t="shared" si="14"/>
        <v>2.5827214000191203</v>
      </c>
      <c r="I22" s="8">
        <f t="shared" si="15"/>
        <v>284.98333333333352</v>
      </c>
      <c r="J22" s="8">
        <f t="shared" si="4"/>
        <v>0.94746313673443761</v>
      </c>
      <c r="K22" s="8">
        <f t="shared" si="5"/>
        <v>18.541457337344511</v>
      </c>
      <c r="L22" s="58">
        <f t="shared" si="6"/>
        <v>5.8576088089056144</v>
      </c>
      <c r="M22" s="59">
        <f t="shared" si="7"/>
        <v>0.64872990726978774</v>
      </c>
      <c r="N22" s="89">
        <f t="shared" si="8"/>
        <v>2.3262516698771531E-2</v>
      </c>
      <c r="O22" s="74">
        <f t="shared" si="9"/>
        <v>5.686643974969415E-3</v>
      </c>
      <c r="P22" s="74">
        <f t="shared" si="10"/>
        <v>9.8183910601710115E-3</v>
      </c>
      <c r="Q22" s="74">
        <f t="shared" si="11"/>
        <v>1.5271508649202681E-2</v>
      </c>
      <c r="R22" s="74">
        <f t="shared" si="12"/>
        <v>1.5271508649202681E-2</v>
      </c>
      <c r="S22" s="10">
        <f t="shared" si="13"/>
        <v>278.33535646447814</v>
      </c>
      <c r="T22" s="8">
        <f t="shared" si="2"/>
        <v>2.7833535646447815E-2</v>
      </c>
      <c r="U22" s="16">
        <f t="shared" si="3"/>
        <v>2.5548878643726725</v>
      </c>
      <c r="W22" s="1"/>
    </row>
    <row r="23" spans="1:23" x14ac:dyDescent="0.25">
      <c r="A23" s="5"/>
      <c r="B23" s="86"/>
      <c r="C23" s="5"/>
      <c r="E23" s="28" t="s">
        <v>71</v>
      </c>
      <c r="F23" s="6">
        <v>12</v>
      </c>
      <c r="G23" s="6">
        <v>0</v>
      </c>
      <c r="H23" s="16">
        <f>U22</f>
        <v>2.5548878643726725</v>
      </c>
      <c r="I23" s="8">
        <f t="shared" si="15"/>
        <v>283.1500000000002</v>
      </c>
      <c r="J23" s="8">
        <f t="shared" si="4"/>
        <v>0.94684231904551697</v>
      </c>
      <c r="K23" s="8">
        <f t="shared" si="5"/>
        <v>18.472501301439472</v>
      </c>
      <c r="L23" s="5"/>
      <c r="M23" s="87"/>
      <c r="N23" s="87"/>
      <c r="O23" s="52"/>
      <c r="P23" s="52"/>
      <c r="Q23" s="52"/>
      <c r="R23" s="52"/>
      <c r="S23" s="5"/>
      <c r="T23" s="5"/>
      <c r="W23" s="1"/>
    </row>
    <row r="24" spans="1:23" x14ac:dyDescent="0.25">
      <c r="B24" s="6" t="s">
        <v>72</v>
      </c>
      <c r="C24" s="6">
        <v>12</v>
      </c>
      <c r="D24" s="5" t="s">
        <v>73</v>
      </c>
      <c r="L24" s="5"/>
      <c r="M24" s="87"/>
      <c r="N24" s="87"/>
      <c r="O24" s="52"/>
      <c r="P24" s="52"/>
      <c r="Q24" s="52"/>
      <c r="R24" s="52"/>
      <c r="S24" s="5"/>
      <c r="T24" s="5"/>
      <c r="W24" s="1"/>
    </row>
    <row r="25" spans="1:23" x14ac:dyDescent="0.25">
      <c r="B25" s="8" t="s">
        <v>74</v>
      </c>
      <c r="C25" s="8">
        <f>C24*C10/24</f>
        <v>55</v>
      </c>
      <c r="D25" s="5" t="s">
        <v>125</v>
      </c>
      <c r="L25" s="5"/>
      <c r="M25" s="87"/>
      <c r="N25" s="87"/>
      <c r="O25" s="52"/>
      <c r="P25" s="52"/>
      <c r="Q25" s="52"/>
      <c r="R25" s="52"/>
      <c r="S25" s="5"/>
      <c r="T25" s="5"/>
      <c r="W25" s="1"/>
    </row>
    <row r="26" spans="1:23" x14ac:dyDescent="0.25">
      <c r="A26" s="5"/>
      <c r="B26" s="5"/>
      <c r="C26" s="52"/>
      <c r="L26" s="5"/>
      <c r="M26" s="87"/>
      <c r="N26" s="87"/>
      <c r="O26" s="52"/>
      <c r="P26" s="52"/>
      <c r="Q26" s="52"/>
      <c r="R26" s="52"/>
      <c r="S26" s="5"/>
      <c r="T26" s="5"/>
    </row>
    <row r="27" spans="1:23" x14ac:dyDescent="0.25">
      <c r="B27" s="5"/>
      <c r="C27" s="52"/>
      <c r="L27" s="5"/>
      <c r="M27" s="5"/>
      <c r="N27" s="5"/>
      <c r="O27" s="5"/>
      <c r="P27" s="5"/>
      <c r="Q27" s="5"/>
      <c r="R27" s="5"/>
      <c r="S27" s="5"/>
      <c r="T27" s="5"/>
    </row>
    <row r="28" spans="1:23" x14ac:dyDescent="0.25">
      <c r="B28" s="6" t="s">
        <v>81</v>
      </c>
      <c r="C28" s="6">
        <v>1000</v>
      </c>
      <c r="D28" s="2"/>
    </row>
    <row r="29" spans="1:23" ht="15.75" x14ac:dyDescent="0.25">
      <c r="A29" s="5"/>
      <c r="B29" s="90"/>
      <c r="C29" s="91"/>
      <c r="D29" s="71"/>
    </row>
    <row r="30" spans="1:23" x14ac:dyDescent="0.25">
      <c r="A30" s="5"/>
      <c r="B30" s="5"/>
      <c r="C30" s="52"/>
      <c r="D30" s="71"/>
    </row>
    <row r="31" spans="1:23" s="5" customFormat="1" x14ac:dyDescent="0.25">
      <c r="D31" s="71"/>
      <c r="E31" s="27"/>
      <c r="V31" s="46"/>
    </row>
    <row r="32" spans="1:23" x14ac:dyDescent="0.25">
      <c r="D32" s="2"/>
    </row>
    <row r="33" spans="1:28" x14ac:dyDescent="0.25">
      <c r="C33" s="37"/>
      <c r="D33" s="2"/>
    </row>
    <row r="34" spans="1:28" x14ac:dyDescent="0.25">
      <c r="B34" s="38"/>
      <c r="D34" s="2"/>
    </row>
    <row r="35" spans="1:28" x14ac:dyDescent="0.25">
      <c r="D35" s="2"/>
    </row>
    <row r="36" spans="1:28" x14ac:dyDescent="0.25">
      <c r="D36" s="2"/>
    </row>
    <row r="37" spans="1:28" s="27" customFormat="1" x14ac:dyDescent="0.25">
      <c r="A37"/>
      <c r="B37"/>
      <c r="C37"/>
      <c r="D37" s="23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s="46"/>
      <c r="W37"/>
      <c r="X37"/>
      <c r="Y37"/>
      <c r="Z37"/>
      <c r="AA37"/>
      <c r="AB3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77AC-5C06-4EF5-934F-8ADF08561909}">
  <dimension ref="A1:AB37"/>
  <sheetViews>
    <sheetView topLeftCell="A4" workbookViewId="0">
      <selection activeCell="G31" sqref="G31"/>
    </sheetView>
  </sheetViews>
  <sheetFormatPr defaultRowHeight="15" x14ac:dyDescent="0.25"/>
  <cols>
    <col min="1" max="1" width="11.42578125" customWidth="1"/>
    <col min="4" max="4" width="18.28515625" style="5" customWidth="1"/>
    <col min="5" max="5" width="12.140625" style="27" customWidth="1"/>
    <col min="6" max="6" width="6" customWidth="1"/>
    <col min="19" max="19" width="7.28515625" customWidth="1"/>
    <col min="22" max="22" width="9.140625" style="46"/>
    <col min="25" max="25" width="5.42578125" customWidth="1"/>
    <col min="27" max="27" width="4.7109375" customWidth="1"/>
  </cols>
  <sheetData>
    <row r="1" spans="1:28" x14ac:dyDescent="0.25">
      <c r="C1" s="17" t="s">
        <v>109</v>
      </c>
      <c r="D1" s="16"/>
      <c r="E1" s="16"/>
      <c r="F1" s="16"/>
      <c r="H1" s="8" t="s">
        <v>129</v>
      </c>
      <c r="I1" s="74">
        <f>C26^2/9.80665/C20</f>
        <v>3.8585192636906229E-6</v>
      </c>
      <c r="J1" s="8"/>
      <c r="K1" s="5"/>
      <c r="L1" s="5" t="s">
        <v>117</v>
      </c>
      <c r="M1" s="1">
        <f>1.15-1.15*(1-1/I3)*EXP(-4.6*I5^0.5)</f>
        <v>0.77924728236692986</v>
      </c>
    </row>
    <row r="2" spans="1:28" x14ac:dyDescent="0.25">
      <c r="H2" s="8" t="s">
        <v>130</v>
      </c>
      <c r="I2" s="8">
        <f>C28*9.80665*C20^2/C29</f>
        <v>1362.0347222222226</v>
      </c>
      <c r="J2" s="8"/>
      <c r="K2" s="5"/>
      <c r="L2" s="5" t="s">
        <v>118</v>
      </c>
      <c r="M2">
        <f>M1-0.0948/I3-0.0659</f>
        <v>0.66120728236692994</v>
      </c>
    </row>
    <row r="3" spans="1:28" x14ac:dyDescent="0.25">
      <c r="H3" s="8" t="s">
        <v>131</v>
      </c>
      <c r="I3" s="8">
        <f>C20/0.055</f>
        <v>1.8181818181818183</v>
      </c>
      <c r="J3" s="8"/>
      <c r="K3" s="5"/>
      <c r="L3" s="5" t="s">
        <v>134</v>
      </c>
      <c r="M3">
        <f>0.0248/I3+0.0000727/I3^2</f>
        <v>1.3661991749999998E-2</v>
      </c>
    </row>
    <row r="4" spans="1:28" x14ac:dyDescent="0.25">
      <c r="H4" s="8" t="s">
        <v>132</v>
      </c>
      <c r="I4" s="74">
        <f>I1^(1/3)*I2^(2/3)/I3^2</f>
        <v>0.58298545913389577</v>
      </c>
      <c r="J4" s="8"/>
      <c r="K4" s="5"/>
      <c r="L4" s="5" t="s">
        <v>135</v>
      </c>
      <c r="M4">
        <f>0.996+0.75/I3+0.397/I3^2</f>
        <v>1.5285925</v>
      </c>
    </row>
    <row r="5" spans="1:28" x14ac:dyDescent="0.25">
      <c r="H5" s="8" t="s">
        <v>133</v>
      </c>
      <c r="I5" s="74">
        <f>C28*C20*C26^2/C29</f>
        <v>5.2554372135099519E-3</v>
      </c>
      <c r="J5" s="8"/>
      <c r="K5" s="5"/>
      <c r="L5" s="5" t="s">
        <v>116</v>
      </c>
      <c r="M5" s="92">
        <f>C19/2*M1+0.00667*I4-0.0012</f>
        <v>8.1432439889915931E-3</v>
      </c>
    </row>
    <row r="6" spans="1:28" x14ac:dyDescent="0.25">
      <c r="X6" s="17" t="s">
        <v>50</v>
      </c>
      <c r="Y6" s="17"/>
      <c r="Z6" s="17"/>
      <c r="AA6" s="16"/>
    </row>
    <row r="7" spans="1:28" x14ac:dyDescent="0.25">
      <c r="B7" s="6" t="s">
        <v>7</v>
      </c>
      <c r="C7" s="6">
        <v>3</v>
      </c>
      <c r="D7" s="5" t="s">
        <v>24</v>
      </c>
      <c r="Y7" s="18" t="s">
        <v>51</v>
      </c>
      <c r="Z7" s="18"/>
      <c r="AA7" s="18" t="s">
        <v>52</v>
      </c>
      <c r="AB7" s="18"/>
    </row>
    <row r="8" spans="1:28" ht="18.75" x14ac:dyDescent="0.35">
      <c r="A8" s="5"/>
      <c r="B8" s="6" t="s">
        <v>0</v>
      </c>
      <c r="C8" s="6">
        <v>5.0000000000000001E-3</v>
      </c>
      <c r="D8" s="5" t="s">
        <v>41</v>
      </c>
      <c r="K8" s="14" t="s">
        <v>47</v>
      </c>
      <c r="L8" s="12">
        <f>C10*1000/24/3600</f>
        <v>1.2731481481481481</v>
      </c>
      <c r="M8" s="15" t="s">
        <v>48</v>
      </c>
      <c r="N8" s="88"/>
      <c r="O8" s="88"/>
      <c r="P8" s="88"/>
      <c r="Q8" s="88"/>
      <c r="R8" s="88"/>
      <c r="S8" s="5"/>
      <c r="Y8" s="19">
        <v>1</v>
      </c>
      <c r="Z8" s="19"/>
      <c r="AA8" s="19">
        <v>2</v>
      </c>
      <c r="AB8" s="18"/>
    </row>
    <row r="9" spans="1:28" ht="17.25" x14ac:dyDescent="0.25">
      <c r="A9" s="5"/>
      <c r="B9" s="6" t="s">
        <v>1</v>
      </c>
      <c r="C9" s="6">
        <v>5.0000000000000004E-6</v>
      </c>
      <c r="D9" s="5" t="s">
        <v>42</v>
      </c>
      <c r="G9" s="19" t="s">
        <v>46</v>
      </c>
      <c r="H9" s="19" t="s">
        <v>24</v>
      </c>
      <c r="I9" s="19" t="s">
        <v>36</v>
      </c>
      <c r="J9" s="19"/>
      <c r="K9" s="19" t="s">
        <v>44</v>
      </c>
      <c r="L9" s="19" t="s">
        <v>45</v>
      </c>
      <c r="M9" s="19"/>
      <c r="N9" s="19"/>
      <c r="O9" s="19" t="s">
        <v>126</v>
      </c>
      <c r="P9" s="19" t="s">
        <v>127</v>
      </c>
      <c r="Q9" s="19" t="s">
        <v>128</v>
      </c>
      <c r="R9" s="19"/>
      <c r="S9" s="19" t="s">
        <v>31</v>
      </c>
      <c r="T9" s="19" t="s">
        <v>24</v>
      </c>
      <c r="U9" s="44" t="s">
        <v>24</v>
      </c>
      <c r="V9" s="47"/>
      <c r="W9" s="5"/>
      <c r="Y9" s="20" t="s">
        <v>19</v>
      </c>
      <c r="Z9" s="20">
        <f>0.03419*C18/1.205*G11/J11/C15</f>
        <v>8.1128605941939644E-2</v>
      </c>
      <c r="AA9" s="21" t="s">
        <v>20</v>
      </c>
      <c r="AB9" s="21">
        <f>0.03419*C18/1.205*G11/Z14/C15</f>
        <v>8.1571340743122472E-2</v>
      </c>
    </row>
    <row r="10" spans="1:28" ht="18" x14ac:dyDescent="0.3">
      <c r="B10" s="6" t="s">
        <v>5</v>
      </c>
      <c r="C10" s="6">
        <v>110</v>
      </c>
      <c r="D10" s="5" t="s">
        <v>43</v>
      </c>
      <c r="E10" s="28" t="s">
        <v>70</v>
      </c>
      <c r="F10" s="6"/>
      <c r="G10" s="33" t="s">
        <v>6</v>
      </c>
      <c r="H10" s="34" t="s">
        <v>8</v>
      </c>
      <c r="I10" s="34" t="s">
        <v>4</v>
      </c>
      <c r="J10" s="34" t="s">
        <v>10</v>
      </c>
      <c r="K10" s="72" t="s">
        <v>88</v>
      </c>
      <c r="L10" s="57" t="s">
        <v>3</v>
      </c>
      <c r="M10" s="34" t="s">
        <v>119</v>
      </c>
      <c r="N10" s="34" t="s">
        <v>122</v>
      </c>
      <c r="O10" s="34" t="s">
        <v>120</v>
      </c>
      <c r="P10" s="34" t="s">
        <v>121</v>
      </c>
      <c r="Q10" s="34" t="s">
        <v>123</v>
      </c>
      <c r="R10" s="34" t="s">
        <v>124</v>
      </c>
      <c r="S10" s="34" t="s">
        <v>30</v>
      </c>
      <c r="T10" s="34" t="s">
        <v>18</v>
      </c>
      <c r="U10" s="45" t="s">
        <v>8</v>
      </c>
      <c r="V10" s="47"/>
      <c r="W10" s="42"/>
      <c r="Y10" s="20" t="s">
        <v>32</v>
      </c>
      <c r="Z10" s="20">
        <f>EXP(-2*Z9)</f>
        <v>0.8502224890851976</v>
      </c>
      <c r="AA10" s="21"/>
      <c r="AB10" s="21">
        <f t="shared" ref="AB10" si="0">EXP(-2*AB9)</f>
        <v>0.84946997612870689</v>
      </c>
    </row>
    <row r="11" spans="1:28" x14ac:dyDescent="0.25">
      <c r="B11" s="12" t="s">
        <v>9</v>
      </c>
      <c r="C11" s="12">
        <f>(C7^2-C8*C10-C9*C10^2)^0.5</f>
        <v>2.8964633607211399</v>
      </c>
      <c r="D11" s="5" t="s">
        <v>24</v>
      </c>
      <c r="F11" s="6">
        <v>0</v>
      </c>
      <c r="G11" s="6">
        <v>1200</v>
      </c>
      <c r="H11" s="6">
        <f>C11</f>
        <v>2.8964633607211399</v>
      </c>
      <c r="I11" s="6">
        <f>C13</f>
        <v>305.14999999999998</v>
      </c>
      <c r="J11" s="8">
        <f>1/(1+(98-0.27*I11)*H11/10000*1000000/98066.5)</f>
        <v>0.95592811844703995</v>
      </c>
      <c r="K11" s="8">
        <f>C$18*H11/I11/J11*293.15*1000000/101325</f>
        <v>19.247641330305306</v>
      </c>
      <c r="L11" s="58">
        <f>L$8*C$18/K11/(3.14159*C$20^2/4)</f>
        <v>5.6426967837442605</v>
      </c>
      <c r="M11" s="59">
        <f>K11*L11^2/C$28/9.80665/C$20</f>
        <v>0.62492841032753355</v>
      </c>
      <c r="N11" s="89">
        <f>M$3*((M$2-M11)/(M11+0.001))^M$4+1.5*M$5/(1-M$5)</f>
        <v>1.2490879867460726E-2</v>
      </c>
      <c r="O11" s="74">
        <f>M$5+C$19/2*(M11-M$1)</f>
        <v>7.0630118847158189E-3</v>
      </c>
      <c r="P11" s="74">
        <f>M$5</f>
        <v>8.1432439889915931E-3</v>
      </c>
      <c r="Q11" s="74">
        <f>N11/(N11+1.5)</f>
        <v>8.2584827675491832E-3</v>
      </c>
      <c r="R11" s="74">
        <f>IF(M11&gt;M$1,O11,IF(M11&lt;M$2,Q11,P11))</f>
        <v>8.2584827675491832E-3</v>
      </c>
      <c r="S11" s="10">
        <f>(R11*C$28+K11)*9.80665</f>
        <v>269.74293188422473</v>
      </c>
      <c r="T11" s="8">
        <f t="shared" ref="T11:T22" si="1">(S11*(G11-G12))/1000000</f>
        <v>2.6974293188422475E-2</v>
      </c>
      <c r="U11" s="8">
        <f t="shared" ref="U11:U22" si="2">H11-T11</f>
        <v>2.8694890675327174</v>
      </c>
      <c r="W11" s="41"/>
      <c r="Y11" s="20" t="s">
        <v>33</v>
      </c>
      <c r="Z11" s="20">
        <f>((H11*10.197)^2*Z10+1.377*C19*J11^2*C15^2/(C20*100)^5*(Z10-1)*C10^2)^0.5</f>
        <v>26.721733686762022</v>
      </c>
      <c r="AA11" s="21"/>
      <c r="AB11" s="21">
        <f>((H11*10.197)^2*AB10+1.377*C19*Z14^2*C15^2/(C20*100)^5*(AB10-1)*C10^2)^0.5</f>
        <v>26.71247597431006</v>
      </c>
    </row>
    <row r="12" spans="1:28" x14ac:dyDescent="0.25">
      <c r="F12" s="6">
        <v>1</v>
      </c>
      <c r="G12" s="6">
        <v>1100</v>
      </c>
      <c r="H12" s="8">
        <f>U11</f>
        <v>2.8694890675327174</v>
      </c>
      <c r="I12" s="8">
        <f>I11-C$16</f>
        <v>303.31666666666666</v>
      </c>
      <c r="J12" s="8">
        <f t="shared" ref="J12:J23" si="3">1/(1+(98-0.27*I12)*H12/10000*1000000/98066.5)</f>
        <v>0.95499782273066869</v>
      </c>
      <c r="K12" s="8">
        <f t="shared" ref="K12:K23" si="4">C$18*H12/I12/J12*293.15*1000000/101325</f>
        <v>19.202333460363594</v>
      </c>
      <c r="L12" s="58">
        <f t="shared" ref="L12:L22" si="5">L$8*C$18/K12/(3.14159*C$20^2/4)</f>
        <v>5.6560107162684563</v>
      </c>
      <c r="M12" s="59">
        <f t="shared" ref="M12:M22" si="6">K12*L12^2/C$28/9.80665/C$20</f>
        <v>0.62640292774472373</v>
      </c>
      <c r="N12" s="89">
        <f t="shared" ref="N12:N22" si="7">M$3*((M$2-M12)/(M12+0.001))^M$4+1.5*M$5/(1-M$5)</f>
        <v>1.2479488090576968E-2</v>
      </c>
      <c r="O12" s="74">
        <f t="shared" ref="O12:O22" si="8">M$5+C$19/2*(M12-M$1)</f>
        <v>7.0733335066361499E-3</v>
      </c>
      <c r="P12" s="74">
        <f t="shared" ref="P12:P22" si="9">M$5</f>
        <v>8.1432439889915931E-3</v>
      </c>
      <c r="Q12" s="74">
        <f t="shared" ref="Q12:Q22" si="10">N12/(N12+1.5)</f>
        <v>8.2510131137921369E-3</v>
      </c>
      <c r="R12" s="74">
        <f t="shared" ref="R12:R22" si="11">IF(M12&gt;M$1,O12,IF(M12&lt;M$2,Q12,P12))</f>
        <v>8.2510131137921369E-3</v>
      </c>
      <c r="S12" s="10">
        <f t="shared" ref="S12:S22" si="12">(R12*C$28+K12)*9.80665</f>
        <v>269.22536118144427</v>
      </c>
      <c r="T12" s="8">
        <f t="shared" si="1"/>
        <v>2.6922536118144429E-2</v>
      </c>
      <c r="U12" s="8">
        <f t="shared" si="2"/>
        <v>2.8425665314145729</v>
      </c>
      <c r="W12" s="41"/>
      <c r="Y12" s="4"/>
      <c r="Z12" s="4"/>
      <c r="AB12" s="17">
        <f>AB11/10.197</f>
        <v>2.6196406761116076</v>
      </c>
    </row>
    <row r="13" spans="1:28" x14ac:dyDescent="0.25">
      <c r="A13">
        <v>32</v>
      </c>
      <c r="B13" s="6" t="s">
        <v>11</v>
      </c>
      <c r="C13" s="6">
        <f>A13+273.15</f>
        <v>305.14999999999998</v>
      </c>
      <c r="D13" s="5" t="s">
        <v>36</v>
      </c>
      <c r="F13" s="6">
        <v>2</v>
      </c>
      <c r="G13" s="6">
        <v>1000</v>
      </c>
      <c r="H13" s="8">
        <f t="shared" ref="H13:H22" si="13">U12</f>
        <v>2.8425665314145729</v>
      </c>
      <c r="I13" s="8">
        <f t="shared" ref="I13:I23" si="14">I12-C$16</f>
        <v>301.48333333333335</v>
      </c>
      <c r="J13" s="8">
        <f t="shared" si="3"/>
        <v>0.95409332613615816</v>
      </c>
      <c r="K13" s="8">
        <f t="shared" si="4"/>
        <v>19.155988196463145</v>
      </c>
      <c r="L13" s="58">
        <f t="shared" si="5"/>
        <v>5.6696946518911373</v>
      </c>
      <c r="M13" s="59">
        <f t="shared" si="6"/>
        <v>0.62791842298812262</v>
      </c>
      <c r="N13" s="89">
        <f t="shared" si="7"/>
        <v>1.2468111463739585E-2</v>
      </c>
      <c r="O13" s="74">
        <f t="shared" si="8"/>
        <v>7.0839419733399423E-3</v>
      </c>
      <c r="P13" s="74">
        <f t="shared" si="9"/>
        <v>8.1432439889915931E-3</v>
      </c>
      <c r="Q13" s="74">
        <f t="shared" si="10"/>
        <v>8.2435532817106277E-3</v>
      </c>
      <c r="R13" s="74">
        <f t="shared" si="11"/>
        <v>8.2435532817106277E-3</v>
      </c>
      <c r="S13" s="10">
        <f t="shared" si="12"/>
        <v>268.69771343693282</v>
      </c>
      <c r="T13" s="8">
        <f t="shared" si="1"/>
        <v>2.6869771343693283E-2</v>
      </c>
      <c r="U13" s="8">
        <f t="shared" si="2"/>
        <v>2.8156967600708795</v>
      </c>
      <c r="W13" s="1"/>
      <c r="Y13" s="20" t="s">
        <v>21</v>
      </c>
      <c r="Z13" s="20">
        <f>1/(1+(98-0.27*C14)*Z11/10000)</f>
        <v>0.94555136990741484</v>
      </c>
    </row>
    <row r="14" spans="1:28" x14ac:dyDescent="0.25">
      <c r="A14">
        <v>10</v>
      </c>
      <c r="B14" s="6" t="s">
        <v>12</v>
      </c>
      <c r="C14" s="6">
        <f>A14+273.15</f>
        <v>283.14999999999998</v>
      </c>
      <c r="D14" s="5" t="s">
        <v>36</v>
      </c>
      <c r="F14" s="6">
        <v>3</v>
      </c>
      <c r="G14" s="6">
        <v>900</v>
      </c>
      <c r="H14" s="8">
        <f t="shared" si="13"/>
        <v>2.8156967600708795</v>
      </c>
      <c r="I14" s="8">
        <f t="shared" si="14"/>
        <v>299.65000000000003</v>
      </c>
      <c r="J14" s="8">
        <f t="shared" si="3"/>
        <v>0.95321440008515268</v>
      </c>
      <c r="K14" s="8">
        <f t="shared" si="4"/>
        <v>19.108609850853128</v>
      </c>
      <c r="L14" s="58">
        <f t="shared" si="5"/>
        <v>5.6837522288063189</v>
      </c>
      <c r="M14" s="59">
        <f t="shared" si="6"/>
        <v>0.62947529898755084</v>
      </c>
      <c r="N14" s="89">
        <f t="shared" si="7"/>
        <v>1.2456776218822952E-2</v>
      </c>
      <c r="O14" s="74">
        <f t="shared" si="8"/>
        <v>7.0948401053359395E-3</v>
      </c>
      <c r="P14" s="74">
        <f t="shared" si="9"/>
        <v>8.1432439889915931E-3</v>
      </c>
      <c r="Q14" s="74">
        <f t="shared" si="10"/>
        <v>8.2361204727881086E-3</v>
      </c>
      <c r="R14" s="74">
        <f t="shared" si="11"/>
        <v>8.2361204727881086E-3</v>
      </c>
      <c r="S14" s="10">
        <f t="shared" si="12"/>
        <v>268.16019962833633</v>
      </c>
      <c r="T14" s="8">
        <f t="shared" si="1"/>
        <v>2.6816019962833636E-2</v>
      </c>
      <c r="U14" s="8">
        <f t="shared" si="2"/>
        <v>2.7888807401080458</v>
      </c>
      <c r="W14" s="1"/>
      <c r="Y14" s="20" t="s">
        <v>22</v>
      </c>
      <c r="Z14" s="20">
        <f>(Z13+J11)/2</f>
        <v>0.9507397441772274</v>
      </c>
    </row>
    <row r="15" spans="1:28" x14ac:dyDescent="0.25">
      <c r="B15" s="8" t="s">
        <v>13</v>
      </c>
      <c r="C15" s="8">
        <f>(C13+C14)/2</f>
        <v>294.14999999999998</v>
      </c>
      <c r="D15" s="5" t="s">
        <v>36</v>
      </c>
      <c r="F15" s="6">
        <v>4</v>
      </c>
      <c r="G15" s="6">
        <v>800</v>
      </c>
      <c r="H15" s="8">
        <f t="shared" si="13"/>
        <v>2.7888807401080458</v>
      </c>
      <c r="I15" s="8">
        <f t="shared" si="14"/>
        <v>297.81666666666672</v>
      </c>
      <c r="J15" s="8">
        <f t="shared" si="3"/>
        <v>0.95236081951288221</v>
      </c>
      <c r="K15" s="8">
        <f t="shared" si="4"/>
        <v>19.060202632249172</v>
      </c>
      <c r="L15" s="58">
        <f t="shared" si="5"/>
        <v>5.6981872608959057</v>
      </c>
      <c r="M15" s="59">
        <f t="shared" si="6"/>
        <v>0.63107397813025412</v>
      </c>
      <c r="N15" s="89">
        <f t="shared" si="7"/>
        <v>1.2445510251229848E-2</v>
      </c>
      <c r="O15" s="74">
        <f t="shared" si="8"/>
        <v>7.106030859334863E-3</v>
      </c>
      <c r="P15" s="74">
        <f t="shared" si="9"/>
        <v>8.1432439889915931E-3</v>
      </c>
      <c r="Q15" s="74">
        <f t="shared" si="10"/>
        <v>8.2287329803786089E-3</v>
      </c>
      <c r="R15" s="74">
        <f t="shared" si="11"/>
        <v>8.2287329803786089E-3</v>
      </c>
      <c r="S15" s="10">
        <f t="shared" si="12"/>
        <v>267.61304042557623</v>
      </c>
      <c r="T15" s="8">
        <f t="shared" si="1"/>
        <v>2.676130404255762E-2</v>
      </c>
      <c r="U15" s="8">
        <f t="shared" si="2"/>
        <v>2.7621194360654879</v>
      </c>
      <c r="W15" s="1"/>
    </row>
    <row r="16" spans="1:28" x14ac:dyDescent="0.25">
      <c r="B16" s="8" t="s">
        <v>14</v>
      </c>
      <c r="C16" s="8">
        <f>(C13-C14)/F23</f>
        <v>1.8333333333333333</v>
      </c>
      <c r="D16" s="5" t="s">
        <v>36</v>
      </c>
      <c r="F16" s="6">
        <v>5</v>
      </c>
      <c r="G16" s="6">
        <v>700</v>
      </c>
      <c r="H16" s="8">
        <f t="shared" si="13"/>
        <v>2.7621194360654879</v>
      </c>
      <c r="I16" s="8">
        <f t="shared" si="14"/>
        <v>295.98333333333341</v>
      </c>
      <c r="J16" s="8">
        <f t="shared" si="3"/>
        <v>0.95153236284355425</v>
      </c>
      <c r="K16" s="8">
        <f t="shared" si="4"/>
        <v>19.010770631191459</v>
      </c>
      <c r="L16" s="58">
        <f t="shared" si="5"/>
        <v>5.7130037459386269</v>
      </c>
      <c r="M16" s="59">
        <f t="shared" si="6"/>
        <v>0.63271490317004431</v>
      </c>
      <c r="N16" s="89">
        <f t="shared" si="7"/>
        <v>1.2434343342660378E-2</v>
      </c>
      <c r="O16" s="74">
        <f t="shared" si="8"/>
        <v>7.1175173346133946E-3</v>
      </c>
      <c r="P16" s="74">
        <f t="shared" si="9"/>
        <v>8.1432439889915931E-3</v>
      </c>
      <c r="Q16" s="74">
        <f t="shared" si="10"/>
        <v>8.2214103358556351E-3</v>
      </c>
      <c r="R16" s="74">
        <f t="shared" si="11"/>
        <v>8.2214103358556351E-3</v>
      </c>
      <c r="S16" s="10">
        <f t="shared" si="12"/>
        <v>267.05646748049236</v>
      </c>
      <c r="T16" s="8">
        <f t="shared" si="1"/>
        <v>2.6705646748049237E-2</v>
      </c>
      <c r="U16" s="8">
        <f t="shared" si="2"/>
        <v>2.7354137893174388</v>
      </c>
      <c r="W16" s="1"/>
    </row>
    <row r="17" spans="1:23" x14ac:dyDescent="0.25">
      <c r="F17" s="6">
        <v>6</v>
      </c>
      <c r="G17" s="6">
        <v>600</v>
      </c>
      <c r="H17" s="8">
        <f t="shared" si="13"/>
        <v>2.7354137893174388</v>
      </c>
      <c r="I17" s="8">
        <f t="shared" si="14"/>
        <v>294.15000000000009</v>
      </c>
      <c r="J17" s="8">
        <f t="shared" si="3"/>
        <v>0.95072881197153347</v>
      </c>
      <c r="K17" s="8">
        <f t="shared" si="4"/>
        <v>18.96031780398155</v>
      </c>
      <c r="L17" s="58">
        <f t="shared" si="5"/>
        <v>5.7282058746066848</v>
      </c>
      <c r="M17" s="59">
        <f t="shared" si="6"/>
        <v>0.63439853822367553</v>
      </c>
      <c r="N17" s="89">
        <f t="shared" si="7"/>
        <v>1.2423307435744838E-2</v>
      </c>
      <c r="O17" s="74">
        <f t="shared" si="8"/>
        <v>7.1293027799888128E-3</v>
      </c>
      <c r="P17" s="74">
        <f t="shared" si="9"/>
        <v>8.1432439889915931E-3</v>
      </c>
      <c r="Q17" s="74">
        <f t="shared" si="10"/>
        <v>8.2141734887754888E-3</v>
      </c>
      <c r="R17" s="74">
        <f t="shared" si="11"/>
        <v>8.2141734887754888E-3</v>
      </c>
      <c r="S17" s="10">
        <f t="shared" si="12"/>
        <v>266.4907250361158</v>
      </c>
      <c r="T17" s="8">
        <f t="shared" si="1"/>
        <v>2.6649072503611579E-2</v>
      </c>
      <c r="U17" s="8">
        <f t="shared" si="2"/>
        <v>2.7087647168138274</v>
      </c>
      <c r="W17" s="1"/>
    </row>
    <row r="18" spans="1:23" x14ac:dyDescent="0.25">
      <c r="A18" t="s">
        <v>38</v>
      </c>
      <c r="B18" s="6" t="s">
        <v>15</v>
      </c>
      <c r="C18" s="6">
        <v>0.67</v>
      </c>
      <c r="D18" s="5" t="s">
        <v>37</v>
      </c>
      <c r="F18" s="6">
        <v>7</v>
      </c>
      <c r="G18" s="6">
        <v>500</v>
      </c>
      <c r="H18" s="8">
        <f t="shared" si="13"/>
        <v>2.7087647168138274</v>
      </c>
      <c r="I18" s="8">
        <f t="shared" si="14"/>
        <v>292.31666666666678</v>
      </c>
      <c r="J18" s="8">
        <f t="shared" si="3"/>
        <v>0.94994995224924839</v>
      </c>
      <c r="K18" s="8">
        <f t="shared" si="4"/>
        <v>18.908847954897254</v>
      </c>
      <c r="L18" s="58">
        <f t="shared" si="5"/>
        <v>5.7437980403797155</v>
      </c>
      <c r="M18" s="59">
        <f t="shared" si="6"/>
        <v>0.6361253698688164</v>
      </c>
      <c r="N18" s="89">
        <f t="shared" si="7"/>
        <v>1.2412436977115993E-2</v>
      </c>
      <c r="O18" s="74">
        <f t="shared" si="8"/>
        <v>7.1413906015047992E-3</v>
      </c>
      <c r="P18" s="74">
        <f t="shared" si="9"/>
        <v>8.1432439889915931E-3</v>
      </c>
      <c r="Q18" s="74">
        <f t="shared" si="10"/>
        <v>8.2070450319259077E-3</v>
      </c>
      <c r="R18" s="74">
        <f t="shared" si="11"/>
        <v>8.2070450319259077E-3</v>
      </c>
      <c r="S18" s="10">
        <f t="shared" si="12"/>
        <v>265.91607195922933</v>
      </c>
      <c r="T18" s="8">
        <f t="shared" si="1"/>
        <v>2.6591607195922934E-2</v>
      </c>
      <c r="U18" s="8">
        <f t="shared" si="2"/>
        <v>2.6821731096179042</v>
      </c>
      <c r="W18" s="1"/>
    </row>
    <row r="19" spans="1:23" x14ac:dyDescent="0.25">
      <c r="B19" s="6" t="s">
        <v>16</v>
      </c>
      <c r="C19" s="6">
        <v>1.4E-2</v>
      </c>
      <c r="F19" s="6">
        <v>8</v>
      </c>
      <c r="G19" s="6">
        <v>400</v>
      </c>
      <c r="H19" s="8">
        <f t="shared" si="13"/>
        <v>2.6821731096179042</v>
      </c>
      <c r="I19" s="8">
        <f t="shared" si="14"/>
        <v>290.48333333333346</v>
      </c>
      <c r="J19" s="8">
        <f t="shared" si="3"/>
        <v>0.94919557248305331</v>
      </c>
      <c r="K19" s="8">
        <f t="shared" si="4"/>
        <v>18.85636471629158</v>
      </c>
      <c r="L19" s="58">
        <f t="shared" si="5"/>
        <v>5.7597848505412532</v>
      </c>
      <c r="M19" s="59">
        <f t="shared" si="6"/>
        <v>0.63789590836190713</v>
      </c>
      <c r="N19" s="89">
        <f t="shared" si="7"/>
        <v>1.2401769352590982E-2</v>
      </c>
      <c r="O19" s="74">
        <f t="shared" si="8"/>
        <v>7.1537843709564338E-3</v>
      </c>
      <c r="P19" s="74">
        <f t="shared" si="9"/>
        <v>8.1432439889915931E-3</v>
      </c>
      <c r="Q19" s="74">
        <f t="shared" si="10"/>
        <v>8.2000494867840359E-3</v>
      </c>
      <c r="R19" s="74">
        <f t="shared" si="11"/>
        <v>8.2000494867840359E-3</v>
      </c>
      <c r="S19" s="10">
        <f t="shared" si="12"/>
        <v>265.33278434459146</v>
      </c>
      <c r="T19" s="8">
        <f t="shared" si="1"/>
        <v>2.6533278434459146E-2</v>
      </c>
      <c r="U19" s="8">
        <f t="shared" si="2"/>
        <v>2.655639831183445</v>
      </c>
      <c r="W19" s="1"/>
    </row>
    <row r="20" spans="1:23" x14ac:dyDescent="0.25">
      <c r="B20" s="6" t="s">
        <v>17</v>
      </c>
      <c r="C20" s="6">
        <v>0.1</v>
      </c>
      <c r="D20" s="5" t="s">
        <v>39</v>
      </c>
      <c r="F20" s="6">
        <v>9</v>
      </c>
      <c r="G20" s="6">
        <v>300</v>
      </c>
      <c r="H20" s="8">
        <f t="shared" si="13"/>
        <v>2.655639831183445</v>
      </c>
      <c r="I20" s="8">
        <f t="shared" si="14"/>
        <v>288.65000000000015</v>
      </c>
      <c r="J20" s="8">
        <f t="shared" si="3"/>
        <v>0.94846546493869333</v>
      </c>
      <c r="K20" s="8">
        <f t="shared" si="4"/>
        <v>18.802871526048985</v>
      </c>
      <c r="L20" s="58">
        <f t="shared" si="5"/>
        <v>5.7761711384728365</v>
      </c>
      <c r="M20" s="59">
        <f t="shared" si="6"/>
        <v>0.63971068899973149</v>
      </c>
      <c r="N20" s="89">
        <f t="shared" si="7"/>
        <v>1.2391345449163385E-2</v>
      </c>
      <c r="O20" s="74">
        <f t="shared" si="8"/>
        <v>7.1664878354212045E-3</v>
      </c>
      <c r="P20" s="74">
        <f t="shared" si="9"/>
        <v>8.1432439889915931E-3</v>
      </c>
      <c r="Q20" s="74">
        <f t="shared" si="10"/>
        <v>8.1932136721420429E-3</v>
      </c>
      <c r="R20" s="74">
        <f t="shared" si="11"/>
        <v>8.1932136721420429E-3</v>
      </c>
      <c r="S20" s="10">
        <f t="shared" si="12"/>
        <v>264.74115890884002</v>
      </c>
      <c r="T20" s="8">
        <f t="shared" si="1"/>
        <v>2.6474115890884001E-2</v>
      </c>
      <c r="U20" s="8">
        <f t="shared" si="2"/>
        <v>2.6291657152925612</v>
      </c>
      <c r="W20" s="1"/>
    </row>
    <row r="21" spans="1:23" x14ac:dyDescent="0.25">
      <c r="B21" s="5"/>
      <c r="C21" s="5"/>
      <c r="F21" s="6">
        <v>10</v>
      </c>
      <c r="G21" s="6">
        <v>200</v>
      </c>
      <c r="H21" s="8">
        <f t="shared" si="13"/>
        <v>2.6291657152925612</v>
      </c>
      <c r="I21" s="8">
        <f t="shared" si="14"/>
        <v>286.81666666666683</v>
      </c>
      <c r="J21" s="8">
        <f t="shared" si="3"/>
        <v>0.947759425358638</v>
      </c>
      <c r="K21" s="8">
        <f t="shared" si="4"/>
        <v>18.748371601678439</v>
      </c>
      <c r="L21" s="58">
        <f t="shared" si="5"/>
        <v>5.7929619775326895</v>
      </c>
      <c r="M21" s="59">
        <f t="shared" si="6"/>
        <v>0.64157027365648078</v>
      </c>
      <c r="N21" s="89">
        <f t="shared" si="7"/>
        <v>1.2381210396249709E-2</v>
      </c>
      <c r="O21" s="74">
        <f t="shared" si="8"/>
        <v>7.17950492801845E-3</v>
      </c>
      <c r="P21" s="74">
        <f t="shared" si="9"/>
        <v>8.1432439889915931E-3</v>
      </c>
      <c r="Q21" s="74">
        <f t="shared" si="10"/>
        <v>8.1865671902957484E-3</v>
      </c>
      <c r="R21" s="74">
        <f t="shared" si="11"/>
        <v>8.1865671902957484E-3</v>
      </c>
      <c r="S21" s="10">
        <f t="shared" si="12"/>
        <v>264.1415175043137</v>
      </c>
      <c r="T21" s="8">
        <f t="shared" si="1"/>
        <v>2.641415175043137E-2</v>
      </c>
      <c r="U21" s="8">
        <f t="shared" si="2"/>
        <v>2.6027515635421299</v>
      </c>
      <c r="W21" s="1"/>
    </row>
    <row r="22" spans="1:23" x14ac:dyDescent="0.25">
      <c r="A22" s="5"/>
      <c r="B22" s="86"/>
      <c r="C22" s="5"/>
      <c r="F22" s="6">
        <v>11</v>
      </c>
      <c r="G22" s="6">
        <v>100</v>
      </c>
      <c r="H22" s="8">
        <f t="shared" si="13"/>
        <v>2.6027515635421299</v>
      </c>
      <c r="I22" s="8">
        <f t="shared" si="14"/>
        <v>284.98333333333352</v>
      </c>
      <c r="J22" s="8">
        <f t="shared" si="3"/>
        <v>0.94707725299443601</v>
      </c>
      <c r="K22" s="8">
        <f t="shared" si="4"/>
        <v>18.692867910032266</v>
      </c>
      <c r="L22" s="58">
        <f t="shared" si="5"/>
        <v>5.8101626969122133</v>
      </c>
      <c r="M22" s="59">
        <f t="shared" si="6"/>
        <v>0.64347525253985827</v>
      </c>
      <c r="N22" s="89">
        <f t="shared" si="7"/>
        <v>1.2371414568337988E-2</v>
      </c>
      <c r="O22" s="74">
        <f t="shared" si="8"/>
        <v>7.1928397802020917E-3</v>
      </c>
      <c r="P22" s="74">
        <f t="shared" si="9"/>
        <v>8.1432439889915931E-3</v>
      </c>
      <c r="Q22" s="74">
        <f t="shared" si="10"/>
        <v>8.1801430846727852E-3</v>
      </c>
      <c r="R22" s="74">
        <f t="shared" si="11"/>
        <v>8.1801430846727852E-3</v>
      </c>
      <c r="S22" s="10">
        <f t="shared" si="12"/>
        <v>263.5342132712243</v>
      </c>
      <c r="T22" s="8">
        <f t="shared" si="1"/>
        <v>2.6353421327122428E-2</v>
      </c>
      <c r="U22" s="16">
        <f t="shared" si="2"/>
        <v>2.5763981422150075</v>
      </c>
      <c r="W22" s="1"/>
    </row>
    <row r="23" spans="1:23" x14ac:dyDescent="0.25">
      <c r="A23" s="5"/>
      <c r="B23" s="86"/>
      <c r="C23" s="5"/>
      <c r="E23" s="28" t="s">
        <v>71</v>
      </c>
      <c r="F23" s="6">
        <v>12</v>
      </c>
      <c r="G23" s="6">
        <v>0</v>
      </c>
      <c r="H23" s="16">
        <f>U22</f>
        <v>2.5763981422150075</v>
      </c>
      <c r="I23" s="8">
        <f t="shared" si="14"/>
        <v>283.1500000000002</v>
      </c>
      <c r="J23" s="8">
        <f t="shared" si="3"/>
        <v>0.94641875065867254</v>
      </c>
      <c r="K23" s="8">
        <f t="shared" si="4"/>
        <v>18.636363131185721</v>
      </c>
      <c r="L23" s="5"/>
      <c r="M23" s="87"/>
      <c r="N23" s="87"/>
      <c r="O23" s="52"/>
      <c r="P23" s="52"/>
      <c r="Q23" s="52"/>
      <c r="R23" s="52"/>
      <c r="S23" s="5"/>
      <c r="T23" s="5"/>
      <c r="W23" s="1"/>
    </row>
    <row r="24" spans="1:23" x14ac:dyDescent="0.25">
      <c r="B24" s="6" t="s">
        <v>72</v>
      </c>
      <c r="C24" s="6">
        <v>12</v>
      </c>
      <c r="D24" s="5" t="s">
        <v>73</v>
      </c>
      <c r="L24" s="5"/>
      <c r="M24" s="87"/>
      <c r="N24" s="87"/>
      <c r="O24" s="52"/>
      <c r="P24" s="52"/>
      <c r="Q24" s="52"/>
      <c r="R24" s="52"/>
      <c r="S24" s="5"/>
      <c r="T24" s="5"/>
      <c r="W24" s="1"/>
    </row>
    <row r="25" spans="1:23" x14ac:dyDescent="0.25">
      <c r="B25" s="8" t="s">
        <v>74</v>
      </c>
      <c r="C25" s="8">
        <f>C24*C10/24</f>
        <v>55</v>
      </c>
      <c r="D25" s="5" t="s">
        <v>125</v>
      </c>
      <c r="L25" s="5"/>
      <c r="M25" s="87"/>
      <c r="N25" s="87"/>
      <c r="O25" s="52"/>
      <c r="P25" s="52"/>
      <c r="Q25" s="52"/>
      <c r="R25" s="52"/>
      <c r="S25" s="5"/>
      <c r="T25" s="5"/>
      <c r="W25" s="1"/>
    </row>
    <row r="26" spans="1:23" x14ac:dyDescent="0.25">
      <c r="B26" s="16" t="s">
        <v>76</v>
      </c>
      <c r="C26" s="50">
        <f>C25/1000/3600/(3.14159*C20^2/4)</f>
        <v>1.9452287252986896E-3</v>
      </c>
      <c r="D26" s="5" t="s">
        <v>45</v>
      </c>
      <c r="L26" s="5"/>
      <c r="M26" s="87"/>
      <c r="N26" s="87"/>
      <c r="O26" s="52"/>
      <c r="P26" s="52"/>
      <c r="Q26" s="52"/>
      <c r="R26" s="52"/>
      <c r="S26" s="5"/>
      <c r="T26" s="5"/>
    </row>
    <row r="27" spans="1:23" x14ac:dyDescent="0.25">
      <c r="B27" s="5"/>
      <c r="C27" s="52"/>
      <c r="L27" s="5"/>
      <c r="M27" s="5"/>
      <c r="N27" s="5"/>
      <c r="O27" s="5"/>
      <c r="P27" s="5"/>
      <c r="Q27" s="5"/>
      <c r="R27" s="5"/>
      <c r="S27" s="5"/>
      <c r="T27" s="5"/>
    </row>
    <row r="28" spans="1:23" x14ac:dyDescent="0.25">
      <c r="B28" s="6" t="s">
        <v>81</v>
      </c>
      <c r="C28" s="28">
        <v>1000</v>
      </c>
      <c r="D28" s="2"/>
    </row>
    <row r="29" spans="1:23" ht="15.75" x14ac:dyDescent="0.25">
      <c r="B29" s="55" t="s">
        <v>82</v>
      </c>
      <c r="C29" s="96">
        <v>7.1999999999999995E-2</v>
      </c>
      <c r="D29" s="2"/>
    </row>
    <row r="30" spans="1:23" x14ac:dyDescent="0.25">
      <c r="A30" s="5"/>
      <c r="B30" s="5"/>
      <c r="C30" s="52"/>
      <c r="D30" s="71"/>
    </row>
    <row r="31" spans="1:23" s="5" customFormat="1" x14ac:dyDescent="0.25">
      <c r="D31" s="71"/>
      <c r="E31" s="27"/>
      <c r="V31" s="46"/>
    </row>
    <row r="32" spans="1:23" x14ac:dyDescent="0.25">
      <c r="D32" s="2"/>
    </row>
    <row r="33" spans="1:28" x14ac:dyDescent="0.25">
      <c r="C33" s="37"/>
      <c r="D33" s="2"/>
    </row>
    <row r="34" spans="1:28" x14ac:dyDescent="0.25">
      <c r="B34" s="38"/>
      <c r="D34" s="2"/>
    </row>
    <row r="35" spans="1:28" x14ac:dyDescent="0.25">
      <c r="D35" s="2"/>
    </row>
    <row r="36" spans="1:28" x14ac:dyDescent="0.25">
      <c r="D36" s="2"/>
    </row>
    <row r="37" spans="1:28" s="27" customFormat="1" x14ac:dyDescent="0.25">
      <c r="A37"/>
      <c r="B37"/>
      <c r="C37"/>
      <c r="D37" s="23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s="46"/>
      <c r="W37"/>
      <c r="X37"/>
      <c r="Y37"/>
      <c r="Z37"/>
      <c r="AA37"/>
      <c r="AB3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4268-8E24-44D7-A97B-ECA403B5284F}">
  <dimension ref="A1:AB37"/>
  <sheetViews>
    <sheetView topLeftCell="C1" workbookViewId="0">
      <selection activeCell="S11" sqref="S11"/>
    </sheetView>
  </sheetViews>
  <sheetFormatPr defaultRowHeight="15" x14ac:dyDescent="0.25"/>
  <cols>
    <col min="1" max="1" width="11.42578125" customWidth="1"/>
    <col min="4" max="4" width="18.28515625" style="5" customWidth="1"/>
    <col min="5" max="5" width="12.140625" style="27" customWidth="1"/>
    <col min="6" max="6" width="6" customWidth="1"/>
    <col min="19" max="19" width="7.28515625" customWidth="1"/>
    <col min="22" max="22" width="9.140625" style="46"/>
    <col min="25" max="25" width="5.42578125" customWidth="1"/>
    <col min="27" max="27" width="4.7109375" customWidth="1"/>
    <col min="28" max="28" width="11.85546875" customWidth="1"/>
  </cols>
  <sheetData>
    <row r="1" spans="1:28" x14ac:dyDescent="0.25">
      <c r="C1" s="17" t="s">
        <v>109</v>
      </c>
      <c r="D1" s="16"/>
      <c r="E1" s="16"/>
      <c r="F1" s="16"/>
      <c r="H1" s="8" t="s">
        <v>107</v>
      </c>
      <c r="I1" s="8">
        <f>3.1934*C20*100-16.666</f>
        <v>15.268000000000001</v>
      </c>
      <c r="J1" s="8"/>
      <c r="K1" s="8" t="s">
        <v>114</v>
      </c>
      <c r="L1" s="8">
        <f>0.119445/(C20*100)^(8/3)+0.000236</f>
        <v>4.9333645155085815E-4</v>
      </c>
    </row>
    <row r="2" spans="1:28" x14ac:dyDescent="0.25">
      <c r="H2" s="8" t="s">
        <v>110</v>
      </c>
      <c r="I2" s="8">
        <f>6.1343/C20/100</f>
        <v>0.61342999999999992</v>
      </c>
      <c r="J2" s="8"/>
      <c r="K2" s="8" t="s">
        <v>115</v>
      </c>
      <c r="L2" s="8">
        <f>0.3553/C20/C20/10000+0.0014</f>
        <v>4.9529999999999991E-3</v>
      </c>
    </row>
    <row r="3" spans="1:28" x14ac:dyDescent="0.25">
      <c r="H3" s="8" t="s">
        <v>111</v>
      </c>
      <c r="I3" s="8">
        <f>0.0022/(C20*100)^2+0.1364/C20/100</f>
        <v>1.3661999999999999E-2</v>
      </c>
      <c r="J3" s="8"/>
      <c r="K3" s="8" t="s">
        <v>116</v>
      </c>
      <c r="L3" s="8">
        <f>L1*C$25^(2/3)+L2</f>
        <v>1.2087852490337146E-2</v>
      </c>
    </row>
    <row r="4" spans="1:28" x14ac:dyDescent="0.25">
      <c r="H4" s="8" t="s">
        <v>112</v>
      </c>
      <c r="I4" s="8">
        <f>12/C20/C20/10000+4.1273/C20/100+0.9956</f>
        <v>1.52833</v>
      </c>
      <c r="J4" s="8"/>
      <c r="K4" s="8" t="s">
        <v>117</v>
      </c>
      <c r="L4" s="8">
        <f>I1*L3+I2</f>
        <v>0.7979873318224675</v>
      </c>
    </row>
    <row r="5" spans="1:28" x14ac:dyDescent="0.25">
      <c r="H5" s="8" t="s">
        <v>113</v>
      </c>
      <c r="I5" s="8">
        <f>0.5213/C20/100+0.0659</f>
        <v>0.11803</v>
      </c>
      <c r="J5" s="8"/>
      <c r="K5" s="8" t="s">
        <v>118</v>
      </c>
      <c r="L5" s="8">
        <f>L4-I5</f>
        <v>0.67995733182246754</v>
      </c>
    </row>
    <row r="6" spans="1:28" x14ac:dyDescent="0.25">
      <c r="X6" s="17" t="s">
        <v>50</v>
      </c>
      <c r="Y6" s="17"/>
      <c r="Z6" s="17"/>
      <c r="AA6" s="16"/>
    </row>
    <row r="7" spans="1:28" x14ac:dyDescent="0.25">
      <c r="B7" s="6" t="s">
        <v>7</v>
      </c>
      <c r="C7" s="6">
        <v>3</v>
      </c>
      <c r="D7" s="5" t="s">
        <v>24</v>
      </c>
      <c r="Y7" s="18" t="s">
        <v>51</v>
      </c>
      <c r="Z7" s="18"/>
      <c r="AA7" s="18" t="s">
        <v>52</v>
      </c>
      <c r="AB7" s="18"/>
    </row>
    <row r="8" spans="1:28" ht="18.75" x14ac:dyDescent="0.35">
      <c r="A8" s="5"/>
      <c r="B8" s="6" t="s">
        <v>0</v>
      </c>
      <c r="C8" s="6">
        <v>5.0000000000000001E-3</v>
      </c>
      <c r="D8" s="5" t="s">
        <v>41</v>
      </c>
      <c r="K8" s="14" t="s">
        <v>47</v>
      </c>
      <c r="L8" s="12">
        <f>C10*1000/24/3600</f>
        <v>1.2731481481481481</v>
      </c>
      <c r="M8" s="15" t="s">
        <v>48</v>
      </c>
      <c r="N8" s="88"/>
      <c r="O8" s="88"/>
      <c r="P8" s="88"/>
      <c r="Q8" s="88"/>
      <c r="R8" s="88"/>
      <c r="S8" s="5"/>
      <c r="Y8" s="19">
        <v>1</v>
      </c>
      <c r="Z8" s="19"/>
      <c r="AA8" s="19">
        <v>2</v>
      </c>
      <c r="AB8" s="18"/>
    </row>
    <row r="9" spans="1:28" ht="17.25" x14ac:dyDescent="0.25">
      <c r="A9" s="5"/>
      <c r="B9" s="6" t="s">
        <v>1</v>
      </c>
      <c r="C9" s="6">
        <v>5.0000000000000004E-6</v>
      </c>
      <c r="D9" s="5" t="s">
        <v>42</v>
      </c>
      <c r="G9" s="19" t="s">
        <v>46</v>
      </c>
      <c r="H9" s="19" t="s">
        <v>24</v>
      </c>
      <c r="I9" s="19" t="s">
        <v>36</v>
      </c>
      <c r="J9" s="19"/>
      <c r="K9" s="19" t="s">
        <v>44</v>
      </c>
      <c r="L9" s="19" t="s">
        <v>45</v>
      </c>
      <c r="M9" s="19"/>
      <c r="N9" s="19"/>
      <c r="O9" s="19" t="s">
        <v>126</v>
      </c>
      <c r="P9" s="19" t="s">
        <v>127</v>
      </c>
      <c r="Q9" s="19" t="s">
        <v>128</v>
      </c>
      <c r="R9" s="19"/>
      <c r="S9" s="19" t="s">
        <v>31</v>
      </c>
      <c r="T9" s="19" t="s">
        <v>24</v>
      </c>
      <c r="U9" s="44" t="s">
        <v>24</v>
      </c>
      <c r="V9" s="47"/>
      <c r="W9" s="5"/>
      <c r="Y9" s="20" t="s">
        <v>19</v>
      </c>
      <c r="Z9" s="20">
        <f>0.03419*C18/1.205*G11/J11/C15</f>
        <v>8.1128605941939644E-2</v>
      </c>
      <c r="AA9" s="21" t="s">
        <v>20</v>
      </c>
      <c r="AB9" s="21">
        <f>0.03419*C18/1.205*G11/Z14/C15</f>
        <v>8.1571340743122472E-2</v>
      </c>
    </row>
    <row r="10" spans="1:28" ht="18" x14ac:dyDescent="0.3">
      <c r="B10" s="6" t="s">
        <v>5</v>
      </c>
      <c r="C10" s="6">
        <v>110</v>
      </c>
      <c r="D10" s="5" t="s">
        <v>43</v>
      </c>
      <c r="E10" s="28" t="s">
        <v>70</v>
      </c>
      <c r="F10" s="6"/>
      <c r="G10" s="33" t="s">
        <v>6</v>
      </c>
      <c r="H10" s="34" t="s">
        <v>8</v>
      </c>
      <c r="I10" s="34" t="s">
        <v>4</v>
      </c>
      <c r="J10" s="34" t="s">
        <v>10</v>
      </c>
      <c r="K10" s="72" t="s">
        <v>88</v>
      </c>
      <c r="L10" s="57" t="s">
        <v>3</v>
      </c>
      <c r="M10" s="34" t="s">
        <v>119</v>
      </c>
      <c r="N10" s="34" t="s">
        <v>122</v>
      </c>
      <c r="O10" s="34" t="s">
        <v>120</v>
      </c>
      <c r="P10" s="34" t="s">
        <v>121</v>
      </c>
      <c r="Q10" s="34" t="s">
        <v>123</v>
      </c>
      <c r="R10" s="34" t="s">
        <v>124</v>
      </c>
      <c r="S10" s="34" t="s">
        <v>30</v>
      </c>
      <c r="T10" s="34" t="s">
        <v>18</v>
      </c>
      <c r="U10" s="45" t="s">
        <v>8</v>
      </c>
      <c r="V10" s="47"/>
      <c r="W10" s="42"/>
      <c r="Y10" s="20" t="s">
        <v>32</v>
      </c>
      <c r="Z10" s="20">
        <f>EXP(-2*Z9)</f>
        <v>0.8502224890851976</v>
      </c>
      <c r="AA10" s="21"/>
      <c r="AB10" s="21">
        <f t="shared" ref="AB10" si="0">EXP(-2*AB9)</f>
        <v>0.84946997612870689</v>
      </c>
    </row>
    <row r="11" spans="1:28" x14ac:dyDescent="0.25">
      <c r="B11" s="12" t="s">
        <v>9</v>
      </c>
      <c r="C11" s="12">
        <f>(C7^2-C8*C10-C9*C10^2)^0.5</f>
        <v>2.8964633607211399</v>
      </c>
      <c r="D11" s="5" t="s">
        <v>24</v>
      </c>
      <c r="F11" s="6">
        <v>0</v>
      </c>
      <c r="G11" s="6">
        <v>1200</v>
      </c>
      <c r="H11" s="6">
        <f>C11</f>
        <v>2.8964633607211399</v>
      </c>
      <c r="I11" s="6">
        <f>C13</f>
        <v>305.14999999999998</v>
      </c>
      <c r="J11" s="8">
        <f>1/(1+(98-0.27*I11)*H11/10000*1000000/98066.5)</f>
        <v>0.95592811844703995</v>
      </c>
      <c r="K11" s="8">
        <f>C$18*H11/I11/J11*293.15*1000000/101325</f>
        <v>19.247641330305306</v>
      </c>
      <c r="L11" s="58">
        <f>L$8*C$18/K11/(3.14159*C$20^2/4)</f>
        <v>5.6426967837442605</v>
      </c>
      <c r="M11" s="59">
        <f>K11*L11^2/C$28/9.80665/C$20</f>
        <v>0.62492841032753355</v>
      </c>
      <c r="N11" s="89">
        <f>I$3*((L$5-M11)/(M11+0.001))^I$4+1.5*L$3/(1-L$3)</f>
        <v>1.8686063981536143E-2</v>
      </c>
      <c r="O11" s="74">
        <f>L$3+C$19/2*(M11-L$4)</f>
        <v>1.0876440039872608E-2</v>
      </c>
      <c r="P11" s="74">
        <f>L$3</f>
        <v>1.2087852490337146E-2</v>
      </c>
      <c r="Q11" s="74">
        <f>N11/(N11+1.5)</f>
        <v>1.2304099197793999E-2</v>
      </c>
      <c r="R11" s="74">
        <f>IF(M11&gt;L$4,O11,IF(M11&lt;L$5,Q11,P11))</f>
        <v>1.2304099197793999E-2</v>
      </c>
      <c r="S11" s="10">
        <f>(R11*C$28+K11)*9.80665</f>
        <v>309.41687624988504</v>
      </c>
      <c r="T11" s="8">
        <f t="shared" ref="T11:T22" si="1">(S11*(G11-G12))/1000000</f>
        <v>3.0941687624988504E-2</v>
      </c>
      <c r="U11" s="8">
        <f t="shared" ref="U11:U22" si="2">H11-T11</f>
        <v>2.8655216730961515</v>
      </c>
      <c r="W11" s="41"/>
      <c r="Y11" s="20" t="s">
        <v>33</v>
      </c>
      <c r="Z11" s="20">
        <f>((H11*10.197)^2*Z10+1.377*C19*J11^2*C15^2/(C20*100)^5*(Z10-1)*C10^2)^0.5</f>
        <v>26.721733686762022</v>
      </c>
      <c r="AA11" s="21"/>
      <c r="AB11" s="21">
        <f>((H11*10.197)^2*AB10+1.377*C19*Z14^2*C15^2/(C20*100)^5*(AB10-1)*C10^2)^0.5</f>
        <v>26.71247597431006</v>
      </c>
    </row>
    <row r="12" spans="1:28" x14ac:dyDescent="0.25">
      <c r="F12" s="6">
        <v>1</v>
      </c>
      <c r="G12" s="6">
        <v>1100</v>
      </c>
      <c r="H12" s="8">
        <f>U11</f>
        <v>2.8655216730961515</v>
      </c>
      <c r="I12" s="8">
        <f>I11-C$16</f>
        <v>303.31666666666666</v>
      </c>
      <c r="J12" s="8">
        <f t="shared" ref="J12:J23" si="3">1/(1+(98-0.27*I12)*H12/10000*1000000/98066.5)</f>
        <v>0.95505724698433425</v>
      </c>
      <c r="K12" s="8">
        <f t="shared" ref="K12:K23" si="4">C$18*H12/I12/J12*293.15*1000000/101325</f>
        <v>19.174590924963717</v>
      </c>
      <c r="L12" s="58">
        <f t="shared" ref="L12:L22" si="5">L$8*C$18/K12/(3.14159*C$20^2/4)</f>
        <v>5.6641940500424184</v>
      </c>
      <c r="M12" s="59">
        <f t="shared" ref="M12:M22" si="6">K12*L12^2/C$28/9.80665/C$20</f>
        <v>0.62730923158534024</v>
      </c>
      <c r="N12" s="89">
        <f t="shared" ref="N12:N22" si="7">I$3*((L$5-M12)/(M12+0.001))^I$4+1.5*L$3/(1-L$3)</f>
        <v>1.8662538170076497E-2</v>
      </c>
      <c r="O12" s="74">
        <f t="shared" ref="O12:O22" si="8">L$3+C$19/2*(M12-L$4)</f>
        <v>1.0893105788677256E-2</v>
      </c>
      <c r="P12" s="74">
        <f t="shared" ref="P12:P22" si="9">L$3</f>
        <v>1.2087852490337146E-2</v>
      </c>
      <c r="Q12" s="74">
        <f t="shared" ref="Q12:Q22" si="10">N12/(N12+1.5)</f>
        <v>1.2288798663963924E-2</v>
      </c>
      <c r="R12" s="74">
        <f t="shared" ref="R12:R22" si="11">IF(M12&gt;L$4,O12,IF(M12&lt;L$5,Q12,P12))</f>
        <v>1.2288798663963924E-2</v>
      </c>
      <c r="S12" s="10">
        <f t="shared" ref="S12:S22" si="12">(R12*C$28+K12)*9.80665</f>
        <v>308.55044951225722</v>
      </c>
      <c r="T12" s="8">
        <f t="shared" si="1"/>
        <v>3.0855044951225721E-2</v>
      </c>
      <c r="U12" s="8">
        <f t="shared" si="2"/>
        <v>2.8346666281449258</v>
      </c>
      <c r="W12" s="41"/>
      <c r="Y12" s="4"/>
      <c r="Z12" s="4"/>
      <c r="AB12" s="17">
        <f>AB11/10.197</f>
        <v>2.6196406761116076</v>
      </c>
    </row>
    <row r="13" spans="1:28" x14ac:dyDescent="0.25">
      <c r="A13">
        <v>32</v>
      </c>
      <c r="B13" s="6" t="s">
        <v>11</v>
      </c>
      <c r="C13" s="6">
        <f>A13+273.15</f>
        <v>305.14999999999998</v>
      </c>
      <c r="D13" s="5" t="s">
        <v>36</v>
      </c>
      <c r="F13" s="6">
        <v>2</v>
      </c>
      <c r="G13" s="6">
        <v>1000</v>
      </c>
      <c r="H13" s="8">
        <f t="shared" ref="H13:H22" si="13">U12</f>
        <v>2.8346666281449258</v>
      </c>
      <c r="I13" s="8">
        <f t="shared" ref="I13:I23" si="14">I12-C$16</f>
        <v>301.48333333333335</v>
      </c>
      <c r="J13" s="8">
        <f t="shared" si="3"/>
        <v>0.9542150661178348</v>
      </c>
      <c r="K13" s="8">
        <f t="shared" si="4"/>
        <v>19.100313782903463</v>
      </c>
      <c r="L13" s="58">
        <f t="shared" si="5"/>
        <v>5.6862209209563623</v>
      </c>
      <c r="M13" s="59">
        <f t="shared" si="6"/>
        <v>0.62974870653008574</v>
      </c>
      <c r="N13" s="89">
        <f t="shared" si="7"/>
        <v>1.8639236172573351E-2</v>
      </c>
      <c r="O13" s="74">
        <f t="shared" si="8"/>
        <v>1.0910182113290473E-2</v>
      </c>
      <c r="P13" s="74">
        <f t="shared" si="9"/>
        <v>1.2087852490337146E-2</v>
      </c>
      <c r="Q13" s="74">
        <f t="shared" si="10"/>
        <v>1.2273643225200621E-2</v>
      </c>
      <c r="R13" s="74">
        <f t="shared" si="11"/>
        <v>1.2273643225200621E-2</v>
      </c>
      <c r="S13" s="10">
        <f t="shared" si="12"/>
        <v>307.67341549352392</v>
      </c>
      <c r="T13" s="8">
        <f t="shared" si="1"/>
        <v>3.0767341549352394E-2</v>
      </c>
      <c r="U13" s="8">
        <f t="shared" si="2"/>
        <v>2.8038992865955734</v>
      </c>
      <c r="W13" s="1"/>
      <c r="Y13" s="20" t="s">
        <v>21</v>
      </c>
      <c r="Z13" s="20">
        <f>1/(1+(98-0.27*C14)*Z11/10000)</f>
        <v>0.94555136990741484</v>
      </c>
    </row>
    <row r="14" spans="1:28" x14ac:dyDescent="0.25">
      <c r="A14">
        <v>10</v>
      </c>
      <c r="B14" s="6" t="s">
        <v>12</v>
      </c>
      <c r="C14" s="6">
        <f>A14+273.15</f>
        <v>283.14999999999998</v>
      </c>
      <c r="D14" s="5" t="s">
        <v>36</v>
      </c>
      <c r="F14" s="6">
        <v>3</v>
      </c>
      <c r="G14" s="6">
        <v>900</v>
      </c>
      <c r="H14" s="8">
        <f t="shared" si="13"/>
        <v>2.8038992865955734</v>
      </c>
      <c r="I14" s="8">
        <f t="shared" si="14"/>
        <v>299.65000000000003</v>
      </c>
      <c r="J14" s="8">
        <f t="shared" si="3"/>
        <v>0.95340129223824532</v>
      </c>
      <c r="K14" s="8">
        <f t="shared" si="4"/>
        <v>19.024816679916345</v>
      </c>
      <c r="L14" s="58">
        <f t="shared" si="5"/>
        <v>5.7087858272942062</v>
      </c>
      <c r="M14" s="59">
        <f t="shared" si="6"/>
        <v>0.63224776887338308</v>
      </c>
      <c r="N14" s="89">
        <f t="shared" si="7"/>
        <v>1.8616206664617507E-2</v>
      </c>
      <c r="O14" s="74">
        <f t="shared" si="8"/>
        <v>1.0927675549693554E-2</v>
      </c>
      <c r="P14" s="74">
        <f t="shared" si="9"/>
        <v>1.2087852490337146E-2</v>
      </c>
      <c r="Q14" s="74">
        <f t="shared" si="10"/>
        <v>1.2258664554558416E-2</v>
      </c>
      <c r="R14" s="74">
        <f t="shared" si="11"/>
        <v>1.2258664554558416E-2</v>
      </c>
      <c r="S14" s="10">
        <f t="shared" si="12"/>
        <v>306.78615124806186</v>
      </c>
      <c r="T14" s="8">
        <f t="shared" si="1"/>
        <v>3.0678615124806186E-2</v>
      </c>
      <c r="U14" s="8">
        <f t="shared" si="2"/>
        <v>2.7732206714707672</v>
      </c>
      <c r="W14" s="1"/>
      <c r="Y14" s="20" t="s">
        <v>22</v>
      </c>
      <c r="Z14" s="20">
        <f>(Z13+J11)/2</f>
        <v>0.9507397441772274</v>
      </c>
    </row>
    <row r="15" spans="1:28" x14ac:dyDescent="0.25">
      <c r="B15" s="8" t="s">
        <v>13</v>
      </c>
      <c r="C15" s="8">
        <f>(C13+C14)/2</f>
        <v>294.14999999999998</v>
      </c>
      <c r="D15" s="5" t="s">
        <v>36</v>
      </c>
      <c r="F15" s="6">
        <v>4</v>
      </c>
      <c r="G15" s="6">
        <v>800</v>
      </c>
      <c r="H15" s="8">
        <f t="shared" si="13"/>
        <v>2.7732206714707672</v>
      </c>
      <c r="I15" s="8">
        <f t="shared" si="14"/>
        <v>297.81666666666672</v>
      </c>
      <c r="J15" s="8">
        <f t="shared" si="3"/>
        <v>0.95261564667078946</v>
      </c>
      <c r="K15" s="8">
        <f t="shared" si="4"/>
        <v>18.948106131051297</v>
      </c>
      <c r="L15" s="58">
        <f t="shared" si="5"/>
        <v>5.7318975879702299</v>
      </c>
      <c r="M15" s="59">
        <f t="shared" si="6"/>
        <v>0.63480739530958397</v>
      </c>
      <c r="N15" s="89">
        <f t="shared" si="7"/>
        <v>1.8593501408556565E-2</v>
      </c>
      <c r="O15" s="74">
        <f t="shared" si="8"/>
        <v>1.0945592934746961E-2</v>
      </c>
      <c r="P15" s="74">
        <f t="shared" si="9"/>
        <v>1.2087852490337146E-2</v>
      </c>
      <c r="Q15" s="74">
        <f t="shared" si="10"/>
        <v>1.2243896336518196E-2</v>
      </c>
      <c r="R15" s="74">
        <f t="shared" si="11"/>
        <v>1.2243896336518196E-2</v>
      </c>
      <c r="S15" s="10">
        <f t="shared" si="12"/>
        <v>305.88905099859039</v>
      </c>
      <c r="T15" s="8">
        <f t="shared" si="1"/>
        <v>3.0588905099859041E-2</v>
      </c>
      <c r="U15" s="8">
        <f t="shared" si="2"/>
        <v>2.7426317663709083</v>
      </c>
      <c r="W15" s="1"/>
    </row>
    <row r="16" spans="1:28" x14ac:dyDescent="0.25">
      <c r="B16" s="8" t="s">
        <v>14</v>
      </c>
      <c r="C16" s="8">
        <f>(C13-C14)/F23</f>
        <v>1.8333333333333333</v>
      </c>
      <c r="D16" s="5" t="s">
        <v>36</v>
      </c>
      <c r="F16" s="6">
        <v>5</v>
      </c>
      <c r="G16" s="6">
        <v>700</v>
      </c>
      <c r="H16" s="8">
        <f t="shared" si="13"/>
        <v>2.7426317663709083</v>
      </c>
      <c r="I16" s="8">
        <f t="shared" si="14"/>
        <v>295.98333333333341</v>
      </c>
      <c r="J16" s="8">
        <f t="shared" si="3"/>
        <v>0.95185785565574021</v>
      </c>
      <c r="K16" s="8">
        <f t="shared" si="4"/>
        <v>18.870188364761809</v>
      </c>
      <c r="L16" s="58">
        <f t="shared" si="5"/>
        <v>5.755565431026251</v>
      </c>
      <c r="M16" s="59">
        <f t="shared" si="6"/>
        <v>0.63742860784389732</v>
      </c>
      <c r="N16" s="89">
        <f t="shared" si="7"/>
        <v>1.857117572434816E-2</v>
      </c>
      <c r="O16" s="74">
        <f t="shared" si="8"/>
        <v>1.0963941422487154E-2</v>
      </c>
      <c r="P16" s="74">
        <f t="shared" si="9"/>
        <v>1.2087852490337146E-2</v>
      </c>
      <c r="Q16" s="74">
        <f t="shared" si="10"/>
        <v>1.2229374573430736E-2</v>
      </c>
      <c r="R16" s="74">
        <f t="shared" si="11"/>
        <v>1.2229374573430736E-2</v>
      </c>
      <c r="S16" s="10">
        <f t="shared" si="12"/>
        <v>304.98252888782588</v>
      </c>
      <c r="T16" s="8">
        <f t="shared" si="1"/>
        <v>3.0498252888782586E-2</v>
      </c>
      <c r="U16" s="8">
        <f t="shared" si="2"/>
        <v>2.7121335134821258</v>
      </c>
      <c r="W16" s="1"/>
    </row>
    <row r="17" spans="1:23" x14ac:dyDescent="0.25">
      <c r="F17" s="6">
        <v>6</v>
      </c>
      <c r="G17" s="6">
        <v>600</v>
      </c>
      <c r="H17" s="8">
        <f t="shared" si="13"/>
        <v>2.7121335134821258</v>
      </c>
      <c r="I17" s="8">
        <f t="shared" si="14"/>
        <v>294.15000000000009</v>
      </c>
      <c r="J17" s="8">
        <f t="shared" si="3"/>
        <v>0.95112765034021596</v>
      </c>
      <c r="K17" s="8">
        <f t="shared" si="4"/>
        <v>18.791069294234891</v>
      </c>
      <c r="L17" s="58">
        <f t="shared" si="5"/>
        <v>5.779799016679589</v>
      </c>
      <c r="M17" s="59">
        <f t="shared" si="6"/>
        <v>0.64011247634494894</v>
      </c>
      <c r="N17" s="89">
        <f t="shared" si="7"/>
        <v>1.8549289076167985E-2</v>
      </c>
      <c r="O17" s="74">
        <f t="shared" si="8"/>
        <v>1.0982728501994516E-2</v>
      </c>
      <c r="P17" s="74">
        <f t="shared" si="9"/>
        <v>1.2087852490337146E-2</v>
      </c>
      <c r="Q17" s="74">
        <f t="shared" si="10"/>
        <v>1.2215137967271856E-2</v>
      </c>
      <c r="R17" s="74">
        <f t="shared" si="11"/>
        <v>1.2215137967271856E-2</v>
      </c>
      <c r="S17" s="10">
        <f t="shared" si="12"/>
        <v>304.06702244105509</v>
      </c>
      <c r="T17" s="8">
        <f t="shared" si="1"/>
        <v>3.0406702244105507E-2</v>
      </c>
      <c r="U17" s="8">
        <f t="shared" si="2"/>
        <v>2.6817268112380201</v>
      </c>
      <c r="W17" s="1"/>
    </row>
    <row r="18" spans="1:23" x14ac:dyDescent="0.25">
      <c r="A18" t="s">
        <v>38</v>
      </c>
      <c r="B18" s="6" t="s">
        <v>15</v>
      </c>
      <c r="C18" s="6">
        <v>0.67</v>
      </c>
      <c r="D18" s="5" t="s">
        <v>37</v>
      </c>
      <c r="F18" s="6">
        <v>7</v>
      </c>
      <c r="G18" s="6">
        <v>500</v>
      </c>
      <c r="H18" s="8">
        <f t="shared" si="13"/>
        <v>2.6817268112380201</v>
      </c>
      <c r="I18" s="8">
        <f t="shared" si="14"/>
        <v>292.31666666666678</v>
      </c>
      <c r="J18" s="8">
        <f t="shared" si="3"/>
        <v>0.95042476678330756</v>
      </c>
      <c r="K18" s="8">
        <f t="shared" si="4"/>
        <v>18.71075448524909</v>
      </c>
      <c r="L18" s="58">
        <f t="shared" si="5"/>
        <v>5.8046084627319594</v>
      </c>
      <c r="M18" s="59">
        <f t="shared" si="6"/>
        <v>0.6428601213588151</v>
      </c>
      <c r="N18" s="89">
        <f t="shared" si="7"/>
        <v>1.8527905814054724E-2</v>
      </c>
      <c r="O18" s="74">
        <f t="shared" si="8"/>
        <v>1.1001962017091579E-2</v>
      </c>
      <c r="P18" s="74">
        <f t="shared" si="9"/>
        <v>1.2087852490337146E-2</v>
      </c>
      <c r="Q18" s="74">
        <f t="shared" si="10"/>
        <v>1.2201228402267825E-2</v>
      </c>
      <c r="R18" s="74">
        <f t="shared" si="11"/>
        <v>1.2201228402267825E-2</v>
      </c>
      <c r="S18" s="10">
        <f t="shared" si="12"/>
        <v>303.1429969838677</v>
      </c>
      <c r="T18" s="8">
        <f t="shared" si="1"/>
        <v>3.0314299698386771E-2</v>
      </c>
      <c r="U18" s="8">
        <f t="shared" si="2"/>
        <v>2.6514125115396334</v>
      </c>
      <c r="W18" s="1"/>
    </row>
    <row r="19" spans="1:23" x14ac:dyDescent="0.25">
      <c r="B19" s="6" t="s">
        <v>16</v>
      </c>
      <c r="C19" s="6">
        <v>1.4E-2</v>
      </c>
      <c r="F19" s="6">
        <v>8</v>
      </c>
      <c r="G19" s="6">
        <v>400</v>
      </c>
      <c r="H19" s="8">
        <f t="shared" si="13"/>
        <v>2.6514125115396334</v>
      </c>
      <c r="I19" s="8">
        <f t="shared" si="14"/>
        <v>290.48333333333346</v>
      </c>
      <c r="J19" s="8">
        <f t="shared" si="3"/>
        <v>0.94974894597729442</v>
      </c>
      <c r="K19" s="8">
        <f t="shared" si="4"/>
        <v>18.62924911969284</v>
      </c>
      <c r="L19" s="58">
        <f t="shared" si="5"/>
        <v>5.8300043727670969</v>
      </c>
      <c r="M19" s="59">
        <f t="shared" si="6"/>
        <v>0.64567271723190933</v>
      </c>
      <c r="N19" s="89">
        <f t="shared" si="7"/>
        <v>1.8507096127776144E-2</v>
      </c>
      <c r="O19" s="74">
        <f t="shared" si="8"/>
        <v>1.1021650188203239E-2</v>
      </c>
      <c r="P19" s="74">
        <f t="shared" si="9"/>
        <v>1.2087852490337146E-2</v>
      </c>
      <c r="Q19" s="74">
        <f t="shared" si="10"/>
        <v>1.2187691565597299E-2</v>
      </c>
      <c r="R19" s="74">
        <f t="shared" si="11"/>
        <v>1.2187691565597299E-2</v>
      </c>
      <c r="S19" s="10">
        <f t="shared" si="12"/>
        <v>302.21095137140054</v>
      </c>
      <c r="T19" s="8">
        <f t="shared" si="1"/>
        <v>3.0221095137140056E-2</v>
      </c>
      <c r="U19" s="8">
        <f t="shared" si="2"/>
        <v>2.6211914164024934</v>
      </c>
      <c r="W19" s="1"/>
    </row>
    <row r="20" spans="1:23" x14ac:dyDescent="0.25">
      <c r="B20" s="6" t="s">
        <v>17</v>
      </c>
      <c r="C20" s="6">
        <v>0.1</v>
      </c>
      <c r="D20" s="5" t="s">
        <v>39</v>
      </c>
      <c r="F20" s="6">
        <v>9</v>
      </c>
      <c r="G20" s="6">
        <v>300</v>
      </c>
      <c r="H20" s="8">
        <f t="shared" si="13"/>
        <v>2.6211914164024934</v>
      </c>
      <c r="I20" s="8">
        <f t="shared" si="14"/>
        <v>288.65000000000015</v>
      </c>
      <c r="J20" s="8">
        <f t="shared" si="3"/>
        <v>0.94909993388869263</v>
      </c>
      <c r="K20" s="8">
        <f t="shared" si="4"/>
        <v>18.546557953561386</v>
      </c>
      <c r="L20" s="58">
        <f t="shared" si="5"/>
        <v>5.8559978676971358</v>
      </c>
      <c r="M20" s="59">
        <f t="shared" si="6"/>
        <v>0.64855149560474012</v>
      </c>
      <c r="N20" s="89">
        <f t="shared" si="7"/>
        <v>1.8486937298620745E-2</v>
      </c>
      <c r="O20" s="74">
        <f t="shared" si="8"/>
        <v>1.1041801636813054E-2</v>
      </c>
      <c r="P20" s="74">
        <f t="shared" si="9"/>
        <v>1.2087852490337146E-2</v>
      </c>
      <c r="Q20" s="74">
        <f t="shared" si="10"/>
        <v>1.2174577761932478E-2</v>
      </c>
      <c r="R20" s="74">
        <f t="shared" si="11"/>
        <v>1.2174577761932478E-2</v>
      </c>
      <c r="S20" s="10">
        <f t="shared" si="12"/>
        <v>301.27142556434791</v>
      </c>
      <c r="T20" s="8">
        <f t="shared" si="1"/>
        <v>3.0127142556434793E-2</v>
      </c>
      <c r="U20" s="8">
        <f t="shared" si="2"/>
        <v>2.5910642738460585</v>
      </c>
      <c r="W20" s="1"/>
    </row>
    <row r="21" spans="1:23" x14ac:dyDescent="0.25">
      <c r="B21" s="5"/>
      <c r="C21" s="5"/>
      <c r="F21" s="6">
        <v>10</v>
      </c>
      <c r="G21" s="6">
        <v>200</v>
      </c>
      <c r="H21" s="8">
        <f t="shared" si="13"/>
        <v>2.5910642738460585</v>
      </c>
      <c r="I21" s="8">
        <f t="shared" si="14"/>
        <v>286.81666666666683</v>
      </c>
      <c r="J21" s="8">
        <f t="shared" si="3"/>
        <v>0.9484774815243493</v>
      </c>
      <c r="K21" s="8">
        <f t="shared" si="4"/>
        <v>18.462685267783726</v>
      </c>
      <c r="L21" s="58">
        <f t="shared" si="5"/>
        <v>5.8826006214108144</v>
      </c>
      <c r="M21" s="59">
        <f t="shared" si="6"/>
        <v>0.65149774935995131</v>
      </c>
      <c r="N21" s="89">
        <f t="shared" si="7"/>
        <v>1.846751538201211E-2</v>
      </c>
      <c r="O21" s="74">
        <f t="shared" si="8"/>
        <v>1.1062425413099533E-2</v>
      </c>
      <c r="P21" s="74">
        <f t="shared" si="9"/>
        <v>1.2087852490337146E-2</v>
      </c>
      <c r="Q21" s="74">
        <f t="shared" si="10"/>
        <v>1.2161943008287601E-2</v>
      </c>
      <c r="R21" s="74">
        <f t="shared" si="11"/>
        <v>1.2161943008287601E-2</v>
      </c>
      <c r="S21" s="10">
        <f t="shared" si="12"/>
        <v>300.32501088353484</v>
      </c>
      <c r="T21" s="8">
        <f t="shared" si="1"/>
        <v>3.0032501088353484E-2</v>
      </c>
      <c r="U21" s="8">
        <f t="shared" si="2"/>
        <v>2.5610317727577052</v>
      </c>
      <c r="W21" s="1"/>
    </row>
    <row r="22" spans="1:23" x14ac:dyDescent="0.25">
      <c r="A22" s="5"/>
      <c r="B22" s="86"/>
      <c r="C22" s="5"/>
      <c r="F22" s="6">
        <v>11</v>
      </c>
      <c r="G22" s="6">
        <v>100</v>
      </c>
      <c r="H22" s="8">
        <f t="shared" si="13"/>
        <v>2.5610317727577052</v>
      </c>
      <c r="I22" s="8">
        <f t="shared" si="14"/>
        <v>284.98333333333352</v>
      </c>
      <c r="J22" s="8">
        <f t="shared" si="3"/>
        <v>0.94788134503004695</v>
      </c>
      <c r="K22" s="8">
        <f t="shared" si="4"/>
        <v>18.377634809510525</v>
      </c>
      <c r="L22" s="58">
        <f t="shared" si="5"/>
        <v>5.909824901568471</v>
      </c>
      <c r="M22" s="59">
        <f t="shared" si="6"/>
        <v>0.65451283714036301</v>
      </c>
      <c r="N22" s="89">
        <f t="shared" si="7"/>
        <v>1.8448927535522845E-2</v>
      </c>
      <c r="O22" s="74">
        <f t="shared" si="8"/>
        <v>1.1083531027562415E-2</v>
      </c>
      <c r="P22" s="74">
        <f t="shared" si="9"/>
        <v>1.2087852490337146E-2</v>
      </c>
      <c r="Q22" s="74">
        <f t="shared" si="10"/>
        <v>1.2149850548787224E-2</v>
      </c>
      <c r="R22" s="74">
        <f t="shared" si="11"/>
        <v>1.2149850548787224E-2</v>
      </c>
      <c r="S22" s="10">
        <f t="shared" si="12"/>
        <v>299.37236428895062</v>
      </c>
      <c r="T22" s="8">
        <f t="shared" si="1"/>
        <v>2.9937236428895064E-2</v>
      </c>
      <c r="U22" s="16">
        <f t="shared" si="2"/>
        <v>2.5310945363288102</v>
      </c>
      <c r="W22" s="1"/>
    </row>
    <row r="23" spans="1:23" x14ac:dyDescent="0.25">
      <c r="A23" s="5"/>
      <c r="B23" s="86"/>
      <c r="C23" s="5"/>
      <c r="E23" s="28" t="s">
        <v>71</v>
      </c>
      <c r="F23" s="6">
        <v>12</v>
      </c>
      <c r="G23" s="6">
        <v>0</v>
      </c>
      <c r="H23" s="16">
        <f>U22</f>
        <v>2.5310945363288102</v>
      </c>
      <c r="I23" s="8">
        <f t="shared" si="14"/>
        <v>283.1500000000002</v>
      </c>
      <c r="J23" s="8">
        <f t="shared" si="3"/>
        <v>0.94731128583266189</v>
      </c>
      <c r="K23" s="8">
        <f t="shared" si="4"/>
        <v>18.291409720336627</v>
      </c>
      <c r="L23" s="5"/>
      <c r="M23" s="87"/>
      <c r="N23" s="87"/>
      <c r="O23" s="52"/>
      <c r="P23" s="52"/>
      <c r="Q23" s="52"/>
      <c r="R23" s="52"/>
      <c r="S23" s="5"/>
      <c r="T23" s="5"/>
      <c r="W23" s="1"/>
    </row>
    <row r="24" spans="1:23" x14ac:dyDescent="0.25">
      <c r="B24" s="6" t="s">
        <v>72</v>
      </c>
      <c r="C24" s="6">
        <v>12</v>
      </c>
      <c r="D24" s="5" t="s">
        <v>73</v>
      </c>
      <c r="L24" s="5"/>
      <c r="M24" s="87"/>
      <c r="N24" s="87"/>
      <c r="O24" s="52"/>
      <c r="P24" s="52"/>
      <c r="Q24" s="52"/>
      <c r="R24" s="52"/>
      <c r="S24" s="5"/>
      <c r="T24" s="5"/>
      <c r="W24" s="1"/>
    </row>
    <row r="25" spans="1:23" x14ac:dyDescent="0.25">
      <c r="B25" s="8" t="s">
        <v>74</v>
      </c>
      <c r="C25" s="8">
        <f>C24*C10/24</f>
        <v>55</v>
      </c>
      <c r="D25" s="5" t="s">
        <v>125</v>
      </c>
      <c r="L25" s="5"/>
      <c r="M25" s="87"/>
      <c r="N25" s="87"/>
      <c r="O25" s="52"/>
      <c r="P25" s="52"/>
      <c r="Q25" s="52"/>
      <c r="R25" s="52"/>
      <c r="S25" s="5"/>
      <c r="T25" s="5"/>
      <c r="W25" s="1"/>
    </row>
    <row r="26" spans="1:23" x14ac:dyDescent="0.25">
      <c r="A26" s="5"/>
      <c r="B26" s="5"/>
      <c r="C26" s="52"/>
      <c r="L26" s="5"/>
      <c r="M26" s="87"/>
      <c r="N26" s="87"/>
      <c r="O26" s="52"/>
      <c r="P26" s="52"/>
      <c r="Q26" s="52"/>
      <c r="R26" s="52"/>
      <c r="S26" s="5"/>
      <c r="T26" s="5"/>
    </row>
    <row r="27" spans="1:23" x14ac:dyDescent="0.25">
      <c r="B27" s="5"/>
      <c r="C27" s="52"/>
      <c r="L27" s="5"/>
      <c r="M27" s="5"/>
      <c r="N27" s="5"/>
      <c r="O27" s="5"/>
      <c r="P27" s="5"/>
      <c r="Q27" s="5"/>
      <c r="R27" s="5"/>
      <c r="S27" s="5"/>
      <c r="T27" s="5"/>
    </row>
    <row r="28" spans="1:23" x14ac:dyDescent="0.25">
      <c r="B28" s="6" t="s">
        <v>81</v>
      </c>
      <c r="C28" s="6">
        <v>1000</v>
      </c>
      <c r="D28" s="2"/>
    </row>
    <row r="29" spans="1:23" ht="15.75" x14ac:dyDescent="0.25">
      <c r="A29" s="5"/>
      <c r="B29" s="90"/>
      <c r="C29" s="91"/>
      <c r="D29" s="71"/>
    </row>
    <row r="30" spans="1:23" x14ac:dyDescent="0.25">
      <c r="A30" s="5"/>
      <c r="B30" s="5"/>
      <c r="C30" s="52"/>
      <c r="D30" s="71"/>
    </row>
    <row r="31" spans="1:23" s="5" customFormat="1" x14ac:dyDescent="0.25">
      <c r="D31" s="71"/>
      <c r="E31" s="27"/>
      <c r="V31" s="46"/>
    </row>
    <row r="32" spans="1:23" x14ac:dyDescent="0.25">
      <c r="D32" s="2"/>
    </row>
    <row r="33" spans="1:28" x14ac:dyDescent="0.25">
      <c r="C33" s="37"/>
      <c r="D33" s="2"/>
    </row>
    <row r="34" spans="1:28" x14ac:dyDescent="0.25">
      <c r="B34" s="38"/>
      <c r="D34" s="2"/>
    </row>
    <row r="35" spans="1:28" x14ac:dyDescent="0.25">
      <c r="D35" s="2"/>
    </row>
    <row r="36" spans="1:28" x14ac:dyDescent="0.25">
      <c r="D36" s="2"/>
    </row>
    <row r="37" spans="1:28" s="27" customFormat="1" x14ac:dyDescent="0.25">
      <c r="A37"/>
      <c r="B37"/>
      <c r="C37"/>
      <c r="D37" s="23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s="46"/>
      <c r="W37"/>
      <c r="X37"/>
      <c r="Y37"/>
      <c r="Z37"/>
      <c r="AA37"/>
      <c r="AB3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B7F2-9B63-4ADA-9AC2-EC3BB515C984}">
  <dimension ref="A2:AO33"/>
  <sheetViews>
    <sheetView workbookViewId="0">
      <selection activeCell="K25" sqref="K25"/>
    </sheetView>
  </sheetViews>
  <sheetFormatPr defaultRowHeight="15" x14ac:dyDescent="0.25"/>
  <cols>
    <col min="1" max="1" width="11.42578125" customWidth="1"/>
    <col min="4" max="4" width="18.28515625" style="5" customWidth="1"/>
    <col min="5" max="5" width="12.140625" style="27" customWidth="1"/>
    <col min="6" max="6" width="6" customWidth="1"/>
    <col min="15" max="16" width="9.5703125" customWidth="1"/>
    <col min="17" max="25" width="9.5703125" style="61" customWidth="1"/>
    <col min="26" max="26" width="9.5703125" style="2" bestFit="1" customWidth="1"/>
    <col min="27" max="31" width="9.140625" style="3"/>
    <col min="35" max="35" width="9.140625" style="46"/>
    <col min="38" max="38" width="5.42578125" customWidth="1"/>
    <col min="40" max="40" width="4.7109375" customWidth="1"/>
  </cols>
  <sheetData>
    <row r="2" spans="1:41" x14ac:dyDescent="0.25">
      <c r="G2" s="17" t="s">
        <v>108</v>
      </c>
      <c r="H2" s="16"/>
      <c r="I2" s="16"/>
      <c r="J2" s="16"/>
      <c r="K2" s="16"/>
      <c r="AK2" s="17" t="s">
        <v>50</v>
      </c>
      <c r="AL2" s="17"/>
      <c r="AM2" s="17"/>
      <c r="AN2" s="16"/>
    </row>
    <row r="3" spans="1:41" x14ac:dyDescent="0.25">
      <c r="B3" s="6" t="s">
        <v>7</v>
      </c>
      <c r="C3" s="6">
        <v>3</v>
      </c>
      <c r="D3" s="5" t="s">
        <v>24</v>
      </c>
      <c r="Z3" s="2" t="s">
        <v>104</v>
      </c>
      <c r="AL3" s="18" t="s">
        <v>51</v>
      </c>
      <c r="AM3" s="18"/>
      <c r="AN3" s="18" t="s">
        <v>52</v>
      </c>
      <c r="AO3" s="18"/>
    </row>
    <row r="4" spans="1:41" ht="18.75" x14ac:dyDescent="0.35">
      <c r="A4" s="5"/>
      <c r="B4" s="6" t="s">
        <v>0</v>
      </c>
      <c r="C4" s="6">
        <v>5.0000000000000001E-3</v>
      </c>
      <c r="D4" s="5" t="s">
        <v>41</v>
      </c>
      <c r="K4" s="14" t="s">
        <v>47</v>
      </c>
      <c r="L4" s="12">
        <f>C6*1000/24/3600</f>
        <v>1.2731481481481481</v>
      </c>
      <c r="M4" s="15" t="s">
        <v>48</v>
      </c>
      <c r="N4" s="15"/>
      <c r="O4" s="43"/>
      <c r="P4" s="43"/>
      <c r="Q4" s="62"/>
      <c r="R4" s="62"/>
      <c r="S4" s="62"/>
      <c r="T4" s="62"/>
      <c r="U4" s="62"/>
      <c r="V4" s="62"/>
      <c r="W4" s="62"/>
      <c r="X4" s="62"/>
      <c r="Y4" s="62"/>
      <c r="Z4" s="83">
        <f>C18/C16/1000</f>
        <v>7.7999999999999985E-5</v>
      </c>
      <c r="AL4" s="19">
        <v>1</v>
      </c>
      <c r="AM4" s="19"/>
      <c r="AN4" s="19">
        <v>2</v>
      </c>
      <c r="AO4" s="18"/>
    </row>
    <row r="5" spans="1:41" ht="17.25" x14ac:dyDescent="0.25">
      <c r="A5" s="5"/>
      <c r="B5" s="6" t="s">
        <v>1</v>
      </c>
      <c r="C5" s="6">
        <v>5.0000000000000004E-6</v>
      </c>
      <c r="D5" s="5" t="s">
        <v>42</v>
      </c>
      <c r="G5" s="19" t="s">
        <v>46</v>
      </c>
      <c r="H5" s="19" t="s">
        <v>24</v>
      </c>
      <c r="I5" s="19" t="s">
        <v>36</v>
      </c>
      <c r="J5" s="19"/>
      <c r="K5" s="19" t="s">
        <v>44</v>
      </c>
      <c r="L5" s="19" t="s">
        <v>45</v>
      </c>
      <c r="M5" s="19" t="s">
        <v>45</v>
      </c>
      <c r="N5" s="19"/>
      <c r="O5" s="19"/>
      <c r="P5" s="19"/>
      <c r="Q5" s="65"/>
      <c r="R5" s="81"/>
      <c r="S5" s="78" t="s">
        <v>99</v>
      </c>
      <c r="T5" s="79"/>
      <c r="U5" s="79"/>
      <c r="V5" s="80"/>
      <c r="W5" s="82" t="s">
        <v>100</v>
      </c>
      <c r="X5" s="82"/>
      <c r="Y5" s="75"/>
      <c r="Z5" s="30"/>
      <c r="AA5" s="31"/>
      <c r="AB5" s="31"/>
      <c r="AC5" s="31"/>
      <c r="AD5" s="31"/>
      <c r="AE5" s="31"/>
      <c r="AF5" s="19" t="s">
        <v>31</v>
      </c>
      <c r="AG5" s="19" t="s">
        <v>24</v>
      </c>
      <c r="AH5" s="44" t="s">
        <v>24</v>
      </c>
      <c r="AI5" s="47"/>
      <c r="AJ5" s="5"/>
      <c r="AL5" s="20" t="s">
        <v>19</v>
      </c>
      <c r="AM5" s="20">
        <f>0.03419*C14/1.205*G7/J7/C11</f>
        <v>8.1128605941939644E-2</v>
      </c>
      <c r="AN5" s="21" t="s">
        <v>20</v>
      </c>
      <c r="AO5" s="21">
        <f>0.03419*C14/1.205*G7/AM10/C11</f>
        <v>8.1573622862157677E-2</v>
      </c>
    </row>
    <row r="6" spans="1:41" ht="18.75" x14ac:dyDescent="0.35">
      <c r="B6" s="6" t="s">
        <v>5</v>
      </c>
      <c r="C6" s="6">
        <v>110</v>
      </c>
      <c r="D6" s="5" t="s">
        <v>43</v>
      </c>
      <c r="E6" s="28" t="s">
        <v>70</v>
      </c>
      <c r="F6" s="6"/>
      <c r="G6" s="33" t="s">
        <v>6</v>
      </c>
      <c r="H6" s="34" t="s">
        <v>8</v>
      </c>
      <c r="I6" s="34" t="s">
        <v>4</v>
      </c>
      <c r="J6" s="34" t="s">
        <v>10</v>
      </c>
      <c r="K6" s="72" t="s">
        <v>88</v>
      </c>
      <c r="L6" s="57" t="s">
        <v>3</v>
      </c>
      <c r="M6" s="34" t="s">
        <v>89</v>
      </c>
      <c r="N6" s="34" t="s">
        <v>94</v>
      </c>
      <c r="O6" s="73" t="s">
        <v>1</v>
      </c>
      <c r="P6" s="73" t="s">
        <v>91</v>
      </c>
      <c r="Q6" s="63" t="s">
        <v>95</v>
      </c>
      <c r="R6" s="63" t="s">
        <v>96</v>
      </c>
      <c r="S6" s="76" t="s">
        <v>97</v>
      </c>
      <c r="T6" s="77" t="s">
        <v>136</v>
      </c>
      <c r="U6" s="77" t="s">
        <v>77</v>
      </c>
      <c r="V6" s="77" t="s">
        <v>93</v>
      </c>
      <c r="W6" s="77" t="s">
        <v>77</v>
      </c>
      <c r="X6" s="77" t="s">
        <v>93</v>
      </c>
      <c r="Y6" s="63" t="s">
        <v>137</v>
      </c>
      <c r="Z6" s="35" t="s">
        <v>23</v>
      </c>
      <c r="AA6" s="36" t="s">
        <v>105</v>
      </c>
      <c r="AB6" s="84" t="s">
        <v>106</v>
      </c>
      <c r="AC6" s="84" t="s">
        <v>82</v>
      </c>
      <c r="AD6" s="36" t="s">
        <v>87</v>
      </c>
      <c r="AE6" s="77" t="s">
        <v>93</v>
      </c>
      <c r="AF6" s="34" t="s">
        <v>30</v>
      </c>
      <c r="AG6" s="34" t="s">
        <v>18</v>
      </c>
      <c r="AH6" s="45" t="s">
        <v>8</v>
      </c>
      <c r="AI6" s="47"/>
      <c r="AJ6" s="42"/>
      <c r="AL6" s="20" t="s">
        <v>32</v>
      </c>
      <c r="AM6" s="20">
        <f>EXP(-2*AM5)</f>
        <v>0.8502224890851976</v>
      </c>
      <c r="AN6" s="21"/>
      <c r="AO6" s="21">
        <f t="shared" ref="AO6" si="0">EXP(-2*AO5)</f>
        <v>0.84946609895435032</v>
      </c>
    </row>
    <row r="7" spans="1:41" x14ac:dyDescent="0.25">
      <c r="B7" s="12" t="s">
        <v>9</v>
      </c>
      <c r="C7" s="12">
        <f>(C3^2-C4*C6-C5*C6^2)^0.5</f>
        <v>2.8964633607211399</v>
      </c>
      <c r="D7" s="5" t="s">
        <v>24</v>
      </c>
      <c r="F7" s="6">
        <v>0</v>
      </c>
      <c r="G7" s="6">
        <v>1200</v>
      </c>
      <c r="H7" s="6">
        <f>C7</f>
        <v>2.8964633607211399</v>
      </c>
      <c r="I7" s="6">
        <f>C9</f>
        <v>305.14999999999998</v>
      </c>
      <c r="J7" s="8">
        <f>1/(1+(98-0.27*I7)*H7/10000*1000000/98066.5)</f>
        <v>0.95592811844703995</v>
      </c>
      <c r="K7" s="8">
        <f>C$14*H7/I7/J7*293.15*1000000/101325</f>
        <v>19.247641330305306</v>
      </c>
      <c r="L7" s="58">
        <f>L$4*C$14/K7/(3.14159*C$16^2/4)</f>
        <v>5.6426967837442605</v>
      </c>
      <c r="M7" s="59">
        <f>L7+C$22</f>
        <v>5.6446420124695589</v>
      </c>
      <c r="N7" s="74">
        <f>M7*L7*P7/H7/1000000</f>
        <v>2.1537360487461026E-4</v>
      </c>
      <c r="O7" s="60">
        <f t="shared" ref="O7:O18" si="1">C$22/(C$22+L7)</f>
        <v>3.4461507408290761E-4</v>
      </c>
      <c r="P7" s="66">
        <f>C$24*O7+K7*(1-O7)</f>
        <v>19.585623377045248</v>
      </c>
      <c r="Q7" s="67">
        <f>316*O7^0.302</f>
        <v>28.442124443106849</v>
      </c>
      <c r="R7" s="67">
        <f>M7^2/9.80665/C$16</f>
        <v>32.490181100514846</v>
      </c>
      <c r="S7" s="67">
        <f>1+0.667*(1-O7)*LN(0.011*O7^(-3.768)*C$26^3.539*R7^(-1.614))</f>
        <v>3.8286176389628985</v>
      </c>
      <c r="T7" s="69">
        <f>0.98*O7^0.485/R7^0.087</f>
        <v>1.5146446713919619E-2</v>
      </c>
      <c r="U7" s="69">
        <f>T7*S7</f>
        <v>5.7989953056524282E-2</v>
      </c>
      <c r="V7" s="69">
        <f>U7*$C$24+(1-U7)*$K7</f>
        <v>76.121424569636375</v>
      </c>
      <c r="W7" s="69">
        <f>1.065*O7^0.582/R7^0.061</f>
        <v>8.3149812274388984E-3</v>
      </c>
      <c r="X7" s="69">
        <f>W7*$C$24+(1-W7)*$K7</f>
        <v>27.402578781410242</v>
      </c>
      <c r="Y7" s="69">
        <f>C27*O7+C17*(1-O7)</f>
        <v>1.2340479693193913E-5</v>
      </c>
      <c r="Z7" s="10">
        <f>P7*M7*C$16/C$17</f>
        <v>921281.93795396283</v>
      </c>
      <c r="AA7" s="11">
        <f>(-2*LOG10(Z$4/3.7-5.02/Z7*LOG10(Z$4/3.7+13/Z7)))^(-2)</f>
        <v>1.325172364878933E-2</v>
      </c>
      <c r="AB7" s="11">
        <f>O7/U7^2</f>
        <v>0.10247755521357474</v>
      </c>
      <c r="AC7" s="11">
        <f>LN(AB7)/(-0.0523+3.182*LN(AB7)-0.8725*(LN(AB7))^2+0.01853*(LN(AB7))^4)</f>
        <v>0.20106439123230782</v>
      </c>
      <c r="AD7" s="11">
        <f>AA7*EXP(AC7)</f>
        <v>1.6202928895335589E-2</v>
      </c>
      <c r="AE7" s="11">
        <f>IF(R7&lt;Q7, V7, X7)</f>
        <v>27.402578781410242</v>
      </c>
      <c r="AF7" s="10">
        <f>1/(1-N7)*(AD7*P7*M7^2/2/C$16+AE7*9.80665)</f>
        <v>319.35239941468103</v>
      </c>
      <c r="AG7" s="8">
        <f t="shared" ref="AG7:AG18" si="2">(AF7*(G7-G8))/1000000</f>
        <v>3.1935239941468102E-2</v>
      </c>
      <c r="AH7" s="8">
        <f t="shared" ref="AH7:AH18" si="3">H7-AG7</f>
        <v>2.8645281207796716</v>
      </c>
      <c r="AI7" s="46">
        <f>P7^2*M7^2*(1/P8-1/P7)/100</f>
        <v>2.6035615431143352E-2</v>
      </c>
      <c r="AJ7" s="41"/>
      <c r="AL7" s="20" t="s">
        <v>33</v>
      </c>
      <c r="AM7" s="20">
        <f>((H7*10.197)^2*AM6+1.377*AA7*J7^2*C11^2/(C16*100)^5*(AM6-1)*C6^2)^0.5</f>
        <v>26.749345642418071</v>
      </c>
      <c r="AN7" s="21"/>
      <c r="AO7" s="21">
        <f>((H7*10.197)^2*AO6+1.377*AA7*AM10^2*C11^2/(C16*100)^5*(AO6-1)*C6^2)^0.5</f>
        <v>26.73988725917167</v>
      </c>
    </row>
    <row r="8" spans="1:41" x14ac:dyDescent="0.25">
      <c r="F8" s="6">
        <v>1</v>
      </c>
      <c r="G8" s="6">
        <v>1100</v>
      </c>
      <c r="H8" s="8">
        <f>AH7</f>
        <v>2.8645281207796716</v>
      </c>
      <c r="I8" s="8">
        <f>I7-C$12</f>
        <v>303.31666666666666</v>
      </c>
      <c r="J8" s="8">
        <f t="shared" ref="J8:J19" si="4">1/(1+(98-0.27*I8)*H8/10000*1000000/98066.5)</f>
        <v>0.95507212972405964</v>
      </c>
      <c r="K8" s="8">
        <f t="shared" ref="K8:K19" si="5">C$14*H8/I8/J8*293.15*1000000/101325</f>
        <v>19.167643895002204</v>
      </c>
      <c r="L8" s="58">
        <f t="shared" ref="L8:L18" si="6">L$4*C$14/K8/(3.14159*C$16^2/4)</f>
        <v>5.6662469536746549</v>
      </c>
      <c r="M8" s="59">
        <f t="shared" ref="M8:M18" si="7">L8+C$22</f>
        <v>5.6681921823999533</v>
      </c>
      <c r="N8" s="74">
        <f t="shared" ref="N8:N18" si="8">M8*L8*P8/H8/1000000</f>
        <v>2.1868359831578592E-4</v>
      </c>
      <c r="O8" s="60">
        <f t="shared" si="1"/>
        <v>3.431832694979417E-4</v>
      </c>
      <c r="P8" s="66">
        <f t="shared" ref="P8:P18" si="9">C$24*O8+K8*(1-O8)</f>
        <v>19.504249149799687</v>
      </c>
      <c r="Q8" s="67">
        <f t="shared" ref="Q8:Q18" si="10">316*O8^0.302</f>
        <v>28.406384881791901</v>
      </c>
      <c r="R8" s="67">
        <f t="shared" ref="R8:R18" si="11">M8^2/9.80665/C$16</f>
        <v>32.76185304524985</v>
      </c>
      <c r="S8" s="67">
        <f t="shared" ref="S8:S18" si="12">1+0.667*(1-O8)*LN(0.011*O8^(-3.768)*C$26^3.539*R8^(-1.614))</f>
        <v>3.8301207668029407</v>
      </c>
      <c r="T8" s="69">
        <f t="shared" ref="T8:T18" si="13">0.98*O8^0.485/R8^0.087</f>
        <v>1.5104946171918009E-2</v>
      </c>
      <c r="U8" s="69">
        <f t="shared" ref="U8:U18" si="14">T8*S8</f>
        <v>5.7853768014503745E-2</v>
      </c>
      <c r="V8" s="69">
        <f t="shared" ref="V8:V18" si="15">U8*C$24+(1-U8)*K8</f>
        <v>75.912491486219864</v>
      </c>
      <c r="W8" s="69">
        <f t="shared" ref="W8:W18" si="16">1.065*O8^0.582/R8^0.061</f>
        <v>8.290645134204461E-3</v>
      </c>
      <c r="X8" s="69">
        <f t="shared" ref="X8:X18" si="17">W8*$C$24+(1-W8)*$K8</f>
        <v>27.299376895614401</v>
      </c>
      <c r="Y8" s="69">
        <f t="shared" ref="Y8:Y18" si="18">28.5*C$25/P8/M8^2</f>
        <v>3.2746054996432446E-3</v>
      </c>
      <c r="Z8" s="10">
        <f t="shared" ref="Z8:Z18" si="19">P8*M8*C$16/C$17</f>
        <v>921281.9379539626</v>
      </c>
      <c r="AA8" s="11">
        <f t="shared" ref="AA8:AA18" si="20">(-2*LOG10(Z$4/3.7-5.02/Z8*LOG10(Z$4/3.7+13/Z8)))^(-2)</f>
        <v>1.325172364878933E-2</v>
      </c>
      <c r="AB8" s="11">
        <f t="shared" ref="AB8:AB18" si="21">O8/U8^2</f>
        <v>0.10253279774390556</v>
      </c>
      <c r="AC8" s="11">
        <f t="shared" ref="AC8:AC18" si="22">LN(AB8)/(-0.0523+3.182*LN(AB8)-0.8725*(LN(AB8))^2+0.01853*(LN(AB8))^4)</f>
        <v>0.20107689750274657</v>
      </c>
      <c r="AD8" s="11">
        <f t="shared" ref="AD8:AD18" si="23">AA8*EXP(AC8)</f>
        <v>1.6203131534813384E-2</v>
      </c>
      <c r="AE8" s="11">
        <f t="shared" ref="AE8:AE18" si="24">IF(R8&lt;Q8, V8, X8)</f>
        <v>27.299376895614401</v>
      </c>
      <c r="AF8" s="10">
        <f t="shared" ref="AF8:AF18" si="25">1/(1-N8)*(AD8*P8*M8^2/2/C$16+AE8*9.80665)</f>
        <v>318.55277835485282</v>
      </c>
      <c r="AG8" s="8">
        <f t="shared" si="2"/>
        <v>3.1855277835485279E-2</v>
      </c>
      <c r="AH8" s="8">
        <f t="shared" si="3"/>
        <v>2.8326728429441861</v>
      </c>
      <c r="AJ8" s="41"/>
      <c r="AL8" s="4"/>
      <c r="AM8" s="4"/>
      <c r="AO8" s="17">
        <f>AO7/10.197</f>
        <v>2.6223288476190714</v>
      </c>
    </row>
    <row r="9" spans="1:41" x14ac:dyDescent="0.25">
      <c r="A9">
        <v>32</v>
      </c>
      <c r="B9" s="6" t="s">
        <v>11</v>
      </c>
      <c r="C9" s="6">
        <f>A9+273.15</f>
        <v>305.14999999999998</v>
      </c>
      <c r="D9" s="5" t="s">
        <v>36</v>
      </c>
      <c r="F9" s="6">
        <v>2</v>
      </c>
      <c r="G9" s="6">
        <v>1000</v>
      </c>
      <c r="H9" s="8">
        <f t="shared" ref="H9:H18" si="26">AH8</f>
        <v>2.8326728429441861</v>
      </c>
      <c r="I9" s="8">
        <f t="shared" ref="I9:I19" si="27">I8-C$12</f>
        <v>301.48333333333335</v>
      </c>
      <c r="J9" s="8">
        <f t="shared" si="4"/>
        <v>0.95424579588175029</v>
      </c>
      <c r="K9" s="8">
        <f t="shared" si="5"/>
        <v>19.086264767573347</v>
      </c>
      <c r="L9" s="58">
        <f t="shared" si="6"/>
        <v>5.6904064337249309</v>
      </c>
      <c r="M9" s="59">
        <f t="shared" si="7"/>
        <v>5.6923516624502293</v>
      </c>
      <c r="N9" s="74">
        <f t="shared" si="8"/>
        <v>2.2208573842472912E-4</v>
      </c>
      <c r="O9" s="60">
        <f t="shared" si="1"/>
        <v>3.4172673099774388E-4</v>
      </c>
      <c r="P9" s="66">
        <f t="shared" si="9"/>
        <v>19.421469211705112</v>
      </c>
      <c r="Q9" s="67">
        <f t="shared" si="10"/>
        <v>28.369920980601687</v>
      </c>
      <c r="R9" s="67">
        <f t="shared" si="11"/>
        <v>33.041729284719956</v>
      </c>
      <c r="S9" s="67">
        <f t="shared" si="12"/>
        <v>3.8316562961355936</v>
      </c>
      <c r="T9" s="69">
        <f t="shared" si="13"/>
        <v>1.5062668096163544E-2</v>
      </c>
      <c r="U9" s="69">
        <f t="shared" si="14"/>
        <v>5.7714967047265774E-2</v>
      </c>
      <c r="V9" s="69">
        <f t="shared" si="15"/>
        <v>75.699668672723234</v>
      </c>
      <c r="W9" s="69">
        <f t="shared" si="16"/>
        <v>8.2658577863998668E-3</v>
      </c>
      <c r="X9" s="69">
        <f t="shared" si="17"/>
        <v>27.194358203730879</v>
      </c>
      <c r="Y9" s="69">
        <f t="shared" si="18"/>
        <v>3.2607074183347703E-3</v>
      </c>
      <c r="Z9" s="10">
        <f t="shared" si="19"/>
        <v>921281.93795396283</v>
      </c>
      <c r="AA9" s="11">
        <f t="shared" si="20"/>
        <v>1.325172364878933E-2</v>
      </c>
      <c r="AB9" s="11">
        <f t="shared" si="21"/>
        <v>0.10258929563561571</v>
      </c>
      <c r="AC9" s="11">
        <f t="shared" si="22"/>
        <v>0.20108968557899476</v>
      </c>
      <c r="AD9" s="11">
        <f t="shared" si="23"/>
        <v>1.6203338743019803E-2</v>
      </c>
      <c r="AE9" s="11">
        <f t="shared" si="24"/>
        <v>27.194358203730879</v>
      </c>
      <c r="AF9" s="10">
        <f t="shared" si="25"/>
        <v>317.74083882593067</v>
      </c>
      <c r="AG9" s="8">
        <f t="shared" si="2"/>
        <v>3.1774083882593063E-2</v>
      </c>
      <c r="AH9" s="8">
        <f t="shared" si="3"/>
        <v>2.8008987590615932</v>
      </c>
      <c r="AJ9" s="1"/>
      <c r="AL9" s="20" t="s">
        <v>21</v>
      </c>
      <c r="AM9" s="20">
        <f>1/(1+(98-0.27*C10)*AM7/10000)</f>
        <v>0.94549817375916034</v>
      </c>
    </row>
    <row r="10" spans="1:41" x14ac:dyDescent="0.25">
      <c r="A10">
        <v>10</v>
      </c>
      <c r="B10" s="6" t="s">
        <v>12</v>
      </c>
      <c r="C10" s="6">
        <f>A10+273.15</f>
        <v>283.14999999999998</v>
      </c>
      <c r="D10" s="5" t="s">
        <v>36</v>
      </c>
      <c r="F10" s="6">
        <v>3</v>
      </c>
      <c r="G10" s="6">
        <v>900</v>
      </c>
      <c r="H10" s="8">
        <f t="shared" si="26"/>
        <v>2.8008987590615932</v>
      </c>
      <c r="I10" s="8">
        <f t="shared" si="27"/>
        <v>299.65000000000003</v>
      </c>
      <c r="J10" s="8">
        <f t="shared" si="4"/>
        <v>0.95344883741574915</v>
      </c>
      <c r="K10" s="8">
        <f t="shared" si="5"/>
        <v>19.003510029120584</v>
      </c>
      <c r="L10" s="58">
        <f t="shared" si="6"/>
        <v>5.7151864925346576</v>
      </c>
      <c r="M10" s="59">
        <f t="shared" si="7"/>
        <v>5.7171317212599559</v>
      </c>
      <c r="N10" s="74">
        <f t="shared" si="8"/>
        <v>2.255832234096764E-4</v>
      </c>
      <c r="O10" s="60">
        <f t="shared" si="1"/>
        <v>3.4024556720725602E-4</v>
      </c>
      <c r="P10" s="66">
        <f t="shared" si="9"/>
        <v>19.33728973627905</v>
      </c>
      <c r="Q10" s="67">
        <f t="shared" si="10"/>
        <v>28.332729174123518</v>
      </c>
      <c r="R10" s="67">
        <f t="shared" si="11"/>
        <v>33.330031272898317</v>
      </c>
      <c r="S10" s="67">
        <f t="shared" si="12"/>
        <v>3.833224499221711</v>
      </c>
      <c r="T10" s="69">
        <f t="shared" si="13"/>
        <v>1.5019612172880682E-2</v>
      </c>
      <c r="U10" s="69">
        <f t="shared" si="14"/>
        <v>5.7573545349894867E-2</v>
      </c>
      <c r="V10" s="69">
        <f t="shared" si="15"/>
        <v>75.482955932546687</v>
      </c>
      <c r="W10" s="69">
        <f t="shared" si="16"/>
        <v>8.2406192742613023E-3</v>
      </c>
      <c r="X10" s="69">
        <f t="shared" si="17"/>
        <v>27.087528612357296</v>
      </c>
      <c r="Y10" s="69">
        <f t="shared" si="18"/>
        <v>3.2465743660408772E-3</v>
      </c>
      <c r="Z10" s="10">
        <f t="shared" si="19"/>
        <v>921281.9379539626</v>
      </c>
      <c r="AA10" s="11">
        <f t="shared" si="20"/>
        <v>1.325172364878933E-2</v>
      </c>
      <c r="AB10" s="11">
        <f t="shared" si="21"/>
        <v>0.10264706309806192</v>
      </c>
      <c r="AC10" s="11">
        <f t="shared" si="22"/>
        <v>0.20110275851578546</v>
      </c>
      <c r="AD10" s="11">
        <f t="shared" si="23"/>
        <v>1.6203550569627582E-2</v>
      </c>
      <c r="AE10" s="11">
        <f t="shared" si="24"/>
        <v>27.087528612357296</v>
      </c>
      <c r="AF10" s="10">
        <f t="shared" si="25"/>
        <v>316.91674093195024</v>
      </c>
      <c r="AG10" s="8">
        <f t="shared" si="2"/>
        <v>3.1691674093195024E-2</v>
      </c>
      <c r="AH10" s="8">
        <f t="shared" si="3"/>
        <v>2.7692070849683983</v>
      </c>
      <c r="AJ10" s="1"/>
      <c r="AL10" s="20" t="s">
        <v>22</v>
      </c>
      <c r="AM10" s="20">
        <f>(AM9+J7)/2</f>
        <v>0.9507131461031002</v>
      </c>
    </row>
    <row r="11" spans="1:41" x14ac:dyDescent="0.25">
      <c r="B11" s="8" t="s">
        <v>13</v>
      </c>
      <c r="C11" s="8">
        <f>(C9+C10)/2</f>
        <v>294.14999999999998</v>
      </c>
      <c r="D11" s="5" t="s">
        <v>36</v>
      </c>
      <c r="F11" s="6">
        <v>4</v>
      </c>
      <c r="G11" s="6">
        <v>800</v>
      </c>
      <c r="H11" s="8">
        <f t="shared" si="26"/>
        <v>2.7692070849683983</v>
      </c>
      <c r="I11" s="8">
        <f t="shared" si="27"/>
        <v>297.81666666666672</v>
      </c>
      <c r="J11" s="8">
        <f t="shared" si="4"/>
        <v>0.95268097937750107</v>
      </c>
      <c r="K11" s="8">
        <f t="shared" si="5"/>
        <v>18.91938565377934</v>
      </c>
      <c r="L11" s="58">
        <f t="shared" si="6"/>
        <v>5.7405988659827951</v>
      </c>
      <c r="M11" s="59">
        <f t="shared" si="7"/>
        <v>5.7425440947080935</v>
      </c>
      <c r="N11" s="74">
        <f t="shared" si="8"/>
        <v>2.2917939551621381E-4</v>
      </c>
      <c r="O11" s="60">
        <f t="shared" si="1"/>
        <v>3.3873988483454039E-4</v>
      </c>
      <c r="P11" s="66">
        <f t="shared" si="9"/>
        <v>19.251716788096381</v>
      </c>
      <c r="Q11" s="67">
        <f t="shared" si="10"/>
        <v>28.294805697614422</v>
      </c>
      <c r="R11" s="67">
        <f t="shared" si="11"/>
        <v>33.62699054179236</v>
      </c>
      <c r="S11" s="67">
        <f t="shared" si="12"/>
        <v>3.8348256605042348</v>
      </c>
      <c r="T11" s="69">
        <f t="shared" si="13"/>
        <v>1.4975777958317362E-2</v>
      </c>
      <c r="U11" s="69">
        <f t="shared" si="14"/>
        <v>5.7429497600569139E-2</v>
      </c>
      <c r="V11" s="69">
        <f t="shared" si="15"/>
        <v>75.262352441340525</v>
      </c>
      <c r="W11" s="69">
        <f t="shared" si="16"/>
        <v>8.2149296182913809E-3</v>
      </c>
      <c r="X11" s="69">
        <f t="shared" si="17"/>
        <v>26.97889385050361</v>
      </c>
      <c r="Y11" s="69">
        <f t="shared" si="18"/>
        <v>3.2322073609545752E-3</v>
      </c>
      <c r="Z11" s="10">
        <f t="shared" si="19"/>
        <v>921281.93795396283</v>
      </c>
      <c r="AA11" s="11">
        <f t="shared" si="20"/>
        <v>1.325172364878933E-2</v>
      </c>
      <c r="AB11" s="11">
        <f t="shared" si="21"/>
        <v>0.10270611493132575</v>
      </c>
      <c r="AC11" s="11">
        <f t="shared" si="22"/>
        <v>0.20111611949547137</v>
      </c>
      <c r="AD11" s="11">
        <f t="shared" si="23"/>
        <v>1.6203767066383885E-2</v>
      </c>
      <c r="AE11" s="11">
        <f t="shared" si="24"/>
        <v>26.97889385050361</v>
      </c>
      <c r="AF11" s="10">
        <f t="shared" si="25"/>
        <v>316.08064727533247</v>
      </c>
      <c r="AG11" s="8">
        <f t="shared" si="2"/>
        <v>3.1608064727533247E-2</v>
      </c>
      <c r="AH11" s="8">
        <f t="shared" si="3"/>
        <v>2.7375990202408649</v>
      </c>
      <c r="AJ11" s="1"/>
    </row>
    <row r="12" spans="1:41" x14ac:dyDescent="0.25">
      <c r="B12" s="8" t="s">
        <v>14</v>
      </c>
      <c r="C12" s="8">
        <f>(C9-C10)/F19</f>
        <v>1.8333333333333333</v>
      </c>
      <c r="D12" s="5" t="s">
        <v>36</v>
      </c>
      <c r="F12" s="6">
        <v>5</v>
      </c>
      <c r="G12" s="6">
        <v>700</v>
      </c>
      <c r="H12" s="8">
        <f t="shared" si="26"/>
        <v>2.7375990202408649</v>
      </c>
      <c r="I12" s="8">
        <f t="shared" si="27"/>
        <v>295.98333333333341</v>
      </c>
      <c r="J12" s="8">
        <f t="shared" si="4"/>
        <v>0.95194195128383641</v>
      </c>
      <c r="K12" s="8">
        <f t="shared" si="5"/>
        <v>18.833897498465053</v>
      </c>
      <c r="L12" s="58">
        <f t="shared" si="6"/>
        <v>5.7666557778616108</v>
      </c>
      <c r="M12" s="59">
        <f t="shared" si="7"/>
        <v>5.7686010065869091</v>
      </c>
      <c r="N12" s="74">
        <f t="shared" si="8"/>
        <v>2.3287774891478412E-4</v>
      </c>
      <c r="O12" s="60">
        <f t="shared" si="1"/>
        <v>3.3720978848728132E-4</v>
      </c>
      <c r="P12" s="66">
        <f t="shared" si="9"/>
        <v>19.164756312360485</v>
      </c>
      <c r="Q12" s="67">
        <f t="shared" si="10"/>
        <v>28.256146578366394</v>
      </c>
      <c r="R12" s="67">
        <f t="shared" si="11"/>
        <v>33.932849212723511</v>
      </c>
      <c r="S12" s="67">
        <f t="shared" si="12"/>
        <v>3.8364600771097459</v>
      </c>
      <c r="T12" s="69">
        <f t="shared" si="13"/>
        <v>1.4931164871792217E-2</v>
      </c>
      <c r="U12" s="69">
        <f t="shared" si="14"/>
        <v>5.7282817935374299E-2</v>
      </c>
      <c r="V12" s="69">
        <f t="shared" si="15"/>
        <v>75.037856712421274</v>
      </c>
      <c r="W12" s="69">
        <f t="shared" si="16"/>
        <v>8.1887887653487468E-3</v>
      </c>
      <c r="X12" s="69">
        <f t="shared" si="17"/>
        <v>26.868459455570637</v>
      </c>
      <c r="Y12" s="69">
        <f t="shared" si="18"/>
        <v>3.2176074012273763E-3</v>
      </c>
      <c r="Z12" s="10">
        <f t="shared" si="19"/>
        <v>921281.9379539626</v>
      </c>
      <c r="AA12" s="11">
        <f t="shared" si="20"/>
        <v>1.325172364878933E-2</v>
      </c>
      <c r="AB12" s="11">
        <f t="shared" si="21"/>
        <v>0.10276646655038092</v>
      </c>
      <c r="AC12" s="11">
        <f t="shared" si="22"/>
        <v>0.20112977183322656</v>
      </c>
      <c r="AD12" s="11">
        <f t="shared" si="23"/>
        <v>1.6203988287194871E-2</v>
      </c>
      <c r="AE12" s="11">
        <f t="shared" si="24"/>
        <v>26.868459455570637</v>
      </c>
      <c r="AF12" s="10">
        <f t="shared" si="25"/>
        <v>315.23272300742673</v>
      </c>
      <c r="AG12" s="8">
        <f t="shared" si="2"/>
        <v>3.1523272300742672E-2</v>
      </c>
      <c r="AH12" s="8">
        <f t="shared" si="3"/>
        <v>2.7060757479401221</v>
      </c>
      <c r="AJ12" s="1"/>
    </row>
    <row r="13" spans="1:41" x14ac:dyDescent="0.25">
      <c r="F13" s="6">
        <v>6</v>
      </c>
      <c r="G13" s="6">
        <v>600</v>
      </c>
      <c r="H13" s="8">
        <f t="shared" si="26"/>
        <v>2.7060757479401221</v>
      </c>
      <c r="I13" s="8">
        <f t="shared" si="27"/>
        <v>294.15000000000009</v>
      </c>
      <c r="J13" s="8">
        <f t="shared" si="4"/>
        <v>0.95123148702937055</v>
      </c>
      <c r="K13" s="8">
        <f t="shared" si="5"/>
        <v>18.747051292323963</v>
      </c>
      <c r="L13" s="58">
        <f t="shared" si="6"/>
        <v>5.7933699617948431</v>
      </c>
      <c r="M13" s="59">
        <f t="shared" si="7"/>
        <v>5.7953151905201414</v>
      </c>
      <c r="N13" s="74">
        <f t="shared" si="8"/>
        <v>2.3668193810536583E-4</v>
      </c>
      <c r="O13" s="60">
        <f t="shared" si="1"/>
        <v>3.356553804839908E-4</v>
      </c>
      <c r="P13" s="66">
        <f t="shared" si="9"/>
        <v>19.076414124173478</v>
      </c>
      <c r="Q13" s="67">
        <f t="shared" si="10"/>
        <v>28.216747626638224</v>
      </c>
      <c r="R13" s="67">
        <f t="shared" si="11"/>
        <v>34.247860541034406</v>
      </c>
      <c r="S13" s="67">
        <f t="shared" si="12"/>
        <v>3.8381280593770843</v>
      </c>
      <c r="T13" s="69">
        <f t="shared" si="13"/>
        <v>1.4885772188448861E-2</v>
      </c>
      <c r="U13" s="69">
        <f t="shared" si="14"/>
        <v>5.71334999219806E-2</v>
      </c>
      <c r="V13" s="69">
        <f t="shared" si="15"/>
        <v>74.809466560757215</v>
      </c>
      <c r="W13" s="69">
        <f t="shared" si="16"/>
        <v>8.1621965845786598E-3</v>
      </c>
      <c r="X13" s="69">
        <f t="shared" si="17"/>
        <v>26.756230758873496</v>
      </c>
      <c r="Y13" s="69">
        <f t="shared" si="18"/>
        <v>3.2027754631678341E-3</v>
      </c>
      <c r="Z13" s="10">
        <f t="shared" si="19"/>
        <v>921281.93795396283</v>
      </c>
      <c r="AA13" s="11">
        <f t="shared" si="20"/>
        <v>1.325172364878933E-2</v>
      </c>
      <c r="AB13" s="11">
        <f t="shared" si="21"/>
        <v>0.10282813401061529</v>
      </c>
      <c r="AC13" s="11">
        <f t="shared" si="22"/>
        <v>0.20114371898253827</v>
      </c>
      <c r="AD13" s="11">
        <f t="shared" si="23"/>
        <v>1.6204214288214988E-2</v>
      </c>
      <c r="AE13" s="11">
        <f t="shared" si="24"/>
        <v>26.756230758873496</v>
      </c>
      <c r="AF13" s="10">
        <f t="shared" si="25"/>
        <v>314.37313588592195</v>
      </c>
      <c r="AG13" s="8">
        <f t="shared" si="2"/>
        <v>3.1437313588592197E-2</v>
      </c>
      <c r="AH13" s="8">
        <f t="shared" si="3"/>
        <v>2.6746384343515297</v>
      </c>
      <c r="AJ13" s="1"/>
    </row>
    <row r="14" spans="1:41" x14ac:dyDescent="0.25">
      <c r="A14" t="s">
        <v>38</v>
      </c>
      <c r="B14" s="6" t="s">
        <v>15</v>
      </c>
      <c r="C14" s="6">
        <v>0.67</v>
      </c>
      <c r="D14" s="5" t="s">
        <v>37</v>
      </c>
      <c r="F14" s="6">
        <v>7</v>
      </c>
      <c r="G14" s="6">
        <v>500</v>
      </c>
      <c r="H14" s="8">
        <f t="shared" si="26"/>
        <v>2.6746384343515297</v>
      </c>
      <c r="I14" s="8">
        <f t="shared" si="27"/>
        <v>292.31666666666678</v>
      </c>
      <c r="J14" s="8">
        <f t="shared" si="4"/>
        <v>0.95054932480171095</v>
      </c>
      <c r="K14" s="8">
        <f t="shared" si="5"/>
        <v>18.658852625871358</v>
      </c>
      <c r="L14" s="58">
        <f t="shared" si="6"/>
        <v>5.8207546844861202</v>
      </c>
      <c r="M14" s="59">
        <f t="shared" si="7"/>
        <v>5.8226999132114186</v>
      </c>
      <c r="N14" s="74">
        <f t="shared" si="8"/>
        <v>2.4059578687890082E-4</v>
      </c>
      <c r="O14" s="60">
        <f t="shared" si="1"/>
        <v>3.3407676065961455E-4</v>
      </c>
      <c r="P14" s="66">
        <f t="shared" si="9"/>
        <v>18.986695897488094</v>
      </c>
      <c r="Q14" s="67">
        <f t="shared" si="10"/>
        <v>28.176604426127557</v>
      </c>
      <c r="R14" s="67">
        <f t="shared" si="11"/>
        <v>34.572289496731571</v>
      </c>
      <c r="S14" s="67">
        <f t="shared" si="12"/>
        <v>3.8398299314147031</v>
      </c>
      <c r="T14" s="69">
        <f t="shared" si="13"/>
        <v>1.4839599031699881E-2</v>
      </c>
      <c r="U14" s="69">
        <f t="shared" si="14"/>
        <v>5.6981536532113845E-2</v>
      </c>
      <c r="V14" s="69">
        <f t="shared" si="15"/>
        <v>74.577179065436781</v>
      </c>
      <c r="W14" s="69">
        <f t="shared" si="16"/>
        <v>8.1351528631748438E-3</v>
      </c>
      <c r="X14" s="69">
        <f t="shared" si="17"/>
        <v>26.642212870683288</v>
      </c>
      <c r="Y14" s="69">
        <f t="shared" si="18"/>
        <v>3.1877124993866723E-3</v>
      </c>
      <c r="Z14" s="10">
        <f t="shared" si="19"/>
        <v>921281.9379539626</v>
      </c>
      <c r="AA14" s="11">
        <f t="shared" si="20"/>
        <v>1.325172364878933E-2</v>
      </c>
      <c r="AB14" s="11">
        <f t="shared" si="21"/>
        <v>0.10289113403479587</v>
      </c>
      <c r="AC14" s="11">
        <f t="shared" si="22"/>
        <v>0.20115796454100715</v>
      </c>
      <c r="AD14" s="11">
        <f t="shared" si="23"/>
        <v>1.6204445127941287E-2</v>
      </c>
      <c r="AE14" s="11">
        <f t="shared" si="24"/>
        <v>26.642212870683288</v>
      </c>
      <c r="AF14" s="10">
        <f t="shared" si="25"/>
        <v>313.50205633965311</v>
      </c>
      <c r="AG14" s="8">
        <f t="shared" si="2"/>
        <v>3.135020563396531E-2</v>
      </c>
      <c r="AH14" s="8">
        <f t="shared" si="3"/>
        <v>2.6432882287175645</v>
      </c>
      <c r="AJ14" s="1"/>
    </row>
    <row r="15" spans="1:41" x14ac:dyDescent="0.25">
      <c r="B15" s="5"/>
      <c r="C15" s="5"/>
      <c r="F15" s="6">
        <v>8</v>
      </c>
      <c r="G15" s="6">
        <v>400</v>
      </c>
      <c r="H15" s="8">
        <f t="shared" si="26"/>
        <v>2.6432882287175645</v>
      </c>
      <c r="I15" s="8">
        <f t="shared" si="27"/>
        <v>290.48333333333346</v>
      </c>
      <c r="J15" s="8">
        <f t="shared" si="4"/>
        <v>0.9498952069994524</v>
      </c>
      <c r="K15" s="8">
        <f t="shared" si="5"/>
        <v>18.56930693979951</v>
      </c>
      <c r="L15" s="58">
        <f t="shared" si="6"/>
        <v>5.8488237703905099</v>
      </c>
      <c r="M15" s="59">
        <f t="shared" si="7"/>
        <v>5.8507689991158083</v>
      </c>
      <c r="N15" s="74">
        <f t="shared" si="8"/>
        <v>2.4462329787852991E-4</v>
      </c>
      <c r="O15" s="60">
        <f t="shared" si="1"/>
        <v>3.3247402616522041E-4</v>
      </c>
      <c r="P15" s="66">
        <f t="shared" si="9"/>
        <v>18.895607153723358</v>
      </c>
      <c r="Q15" s="67">
        <f t="shared" si="10"/>
        <v>28.135712323954131</v>
      </c>
      <c r="R15" s="67">
        <f t="shared" si="11"/>
        <v>34.906413383790181</v>
      </c>
      <c r="S15" s="67">
        <f t="shared" si="12"/>
        <v>3.8415660316886413</v>
      </c>
      <c r="T15" s="69">
        <f t="shared" si="13"/>
        <v>1.4792644365341848E-2</v>
      </c>
      <c r="U15" s="69">
        <f t="shared" si="14"/>
        <v>5.682692011274762E-2</v>
      </c>
      <c r="V15" s="69">
        <f t="shared" si="15"/>
        <v>74.340990530530064</v>
      </c>
      <c r="W15" s="69">
        <f t="shared" si="16"/>
        <v>8.1076573019626969E-3</v>
      </c>
      <c r="X15" s="69">
        <f t="shared" si="17"/>
        <v>26.526410664759354</v>
      </c>
      <c r="Y15" s="69">
        <f t="shared" si="18"/>
        <v>3.1724194368854346E-3</v>
      </c>
      <c r="Z15" s="10">
        <f t="shared" si="19"/>
        <v>921281.9379539626</v>
      </c>
      <c r="AA15" s="11">
        <f t="shared" si="20"/>
        <v>1.325172364878933E-2</v>
      </c>
      <c r="AB15" s="11">
        <f t="shared" si="21"/>
        <v>0.10295548404157032</v>
      </c>
      <c r="AC15" s="11">
        <f t="shared" si="22"/>
        <v>0.20117251225647587</v>
      </c>
      <c r="AD15" s="11">
        <f t="shared" si="23"/>
        <v>1.6204680867313068E-2</v>
      </c>
      <c r="AE15" s="11">
        <f t="shared" si="24"/>
        <v>26.526410664759354</v>
      </c>
      <c r="AF15" s="10">
        <f t="shared" si="25"/>
        <v>312.61965754137486</v>
      </c>
      <c r="AG15" s="8">
        <f t="shared" si="2"/>
        <v>3.1261965754137484E-2</v>
      </c>
      <c r="AH15" s="8">
        <f t="shared" si="3"/>
        <v>2.6120262629634272</v>
      </c>
      <c r="AJ15" s="1"/>
    </row>
    <row r="16" spans="1:41" x14ac:dyDescent="0.25">
      <c r="B16" s="6" t="s">
        <v>17</v>
      </c>
      <c r="C16" s="6">
        <v>0.1</v>
      </c>
      <c r="D16" s="5" t="s">
        <v>39</v>
      </c>
      <c r="F16" s="6">
        <v>9</v>
      </c>
      <c r="G16" s="6">
        <v>300</v>
      </c>
      <c r="H16" s="8">
        <f t="shared" si="26"/>
        <v>2.6120262629634272</v>
      </c>
      <c r="I16" s="8">
        <f t="shared" si="27"/>
        <v>288.65000000000015</v>
      </c>
      <c r="J16" s="8">
        <f t="shared" si="4"/>
        <v>0.94926888015295008</v>
      </c>
      <c r="K16" s="8">
        <f t="shared" si="5"/>
        <v>18.478419513435817</v>
      </c>
      <c r="L16" s="58">
        <f t="shared" si="6"/>
        <v>5.8775916279098759</v>
      </c>
      <c r="M16" s="59">
        <f t="shared" si="7"/>
        <v>5.8795368566351742</v>
      </c>
      <c r="N16" s="74">
        <f t="shared" si="8"/>
        <v>2.4876866280752009E-4</v>
      </c>
      <c r="O16" s="60">
        <f t="shared" si="1"/>
        <v>3.3084727126141925E-4</v>
      </c>
      <c r="P16" s="66">
        <f t="shared" si="9"/>
        <v>18.803153250023993</v>
      </c>
      <c r="Q16" s="67">
        <f t="shared" si="10"/>
        <v>28.094066420123518</v>
      </c>
      <c r="R16" s="67">
        <f t="shared" si="11"/>
        <v>35.250522501090003</v>
      </c>
      <c r="S16" s="67">
        <f t="shared" si="12"/>
        <v>3.8433367136430556</v>
      </c>
      <c r="T16" s="69">
        <f t="shared" si="13"/>
        <v>1.474490698532121E-2</v>
      </c>
      <c r="U16" s="69">
        <f t="shared" si="14"/>
        <v>5.6669642355936953E-2</v>
      </c>
      <c r="V16" s="69">
        <f t="shared" si="15"/>
        <v>74.100896444243389</v>
      </c>
      <c r="W16" s="69">
        <f t="shared" si="16"/>
        <v>8.0797095107929089E-3</v>
      </c>
      <c r="X16" s="69">
        <f t="shared" si="17"/>
        <v>26.408828762341596</v>
      </c>
      <c r="Y16" s="69">
        <f t="shared" si="18"/>
        <v>3.1568971750853413E-3</v>
      </c>
      <c r="Z16" s="10">
        <f t="shared" si="19"/>
        <v>921281.9379539626</v>
      </c>
      <c r="AA16" s="11">
        <f t="shared" si="20"/>
        <v>1.325172364878933E-2</v>
      </c>
      <c r="AB16" s="11">
        <f t="shared" si="21"/>
        <v>0.10302120217560926</v>
      </c>
      <c r="AC16" s="11">
        <f t="shared" si="22"/>
        <v>0.20118736603350895</v>
      </c>
      <c r="AD16" s="11">
        <f t="shared" si="23"/>
        <v>1.6204921569817232E-2</v>
      </c>
      <c r="AE16" s="11">
        <f t="shared" si="24"/>
        <v>26.408828762341596</v>
      </c>
      <c r="AF16" s="10">
        <f t="shared" si="25"/>
        <v>311.7261154891242</v>
      </c>
      <c r="AG16" s="8">
        <f t="shared" si="2"/>
        <v>3.1172611548912422E-2</v>
      </c>
      <c r="AH16" s="8">
        <f t="shared" si="3"/>
        <v>2.5808536514145146</v>
      </c>
      <c r="AJ16" s="1"/>
    </row>
    <row r="17" spans="2:36" x14ac:dyDescent="0.25">
      <c r="B17" s="6" t="s">
        <v>101</v>
      </c>
      <c r="C17" s="6">
        <v>1.2E-5</v>
      </c>
      <c r="D17" s="5" t="s">
        <v>103</v>
      </c>
      <c r="F17" s="6">
        <v>10</v>
      </c>
      <c r="G17" s="6">
        <v>200</v>
      </c>
      <c r="H17" s="8">
        <f t="shared" si="26"/>
        <v>2.5808536514145146</v>
      </c>
      <c r="I17" s="8">
        <f t="shared" si="27"/>
        <v>286.81666666666683</v>
      </c>
      <c r="J17" s="8">
        <f t="shared" si="4"/>
        <v>0.94867009484787068</v>
      </c>
      <c r="K17" s="8">
        <f t="shared" si="5"/>
        <v>18.386195452830279</v>
      </c>
      <c r="L17" s="58">
        <f t="shared" si="6"/>
        <v>5.9070732772210457</v>
      </c>
      <c r="M17" s="59">
        <f t="shared" si="7"/>
        <v>5.909018505946344</v>
      </c>
      <c r="N17" s="74">
        <f t="shared" si="8"/>
        <v>2.5303627333498322E-4</v>
      </c>
      <c r="O17" s="60">
        <f t="shared" si="1"/>
        <v>3.2919658710514675E-4</v>
      </c>
      <c r="P17" s="66">
        <f t="shared" si="9"/>
        <v>18.709339367142508</v>
      </c>
      <c r="Q17" s="67">
        <f t="shared" si="10"/>
        <v>28.051661556437825</v>
      </c>
      <c r="R17" s="67">
        <f t="shared" si="11"/>
        <v>35.604920848216636</v>
      </c>
      <c r="S17" s="67">
        <f t="shared" si="12"/>
        <v>3.8451423463555527</v>
      </c>
      <c r="T17" s="69">
        <f t="shared" si="13"/>
        <v>1.4696385511129444E-2</v>
      </c>
      <c r="U17" s="69">
        <f t="shared" si="14"/>
        <v>5.6509694267210017E-2</v>
      </c>
      <c r="V17" s="69">
        <f t="shared" si="15"/>
        <v>73.85689143626368</v>
      </c>
      <c r="W17" s="69">
        <f t="shared" si="16"/>
        <v>8.0513090037337733E-3</v>
      </c>
      <c r="X17" s="69">
        <f t="shared" si="17"/>
        <v>26.289471515570273</v>
      </c>
      <c r="Y17" s="69">
        <f t="shared" si="18"/>
        <v>3.1411465837927885E-3</v>
      </c>
      <c r="Z17" s="10">
        <f t="shared" si="19"/>
        <v>921281.93795396294</v>
      </c>
      <c r="AA17" s="11">
        <f t="shared" si="20"/>
        <v>1.325172364878933E-2</v>
      </c>
      <c r="AB17" s="11">
        <f t="shared" si="21"/>
        <v>0.10308830733949513</v>
      </c>
      <c r="AC17" s="11">
        <f t="shared" si="22"/>
        <v>0.20120252994024487</v>
      </c>
      <c r="AD17" s="11">
        <f t="shared" si="23"/>
        <v>1.62051673015997E-2</v>
      </c>
      <c r="AE17" s="11">
        <f t="shared" si="24"/>
        <v>26.289471515570273</v>
      </c>
      <c r="AF17" s="10">
        <f t="shared" si="25"/>
        <v>310.82160909684814</v>
      </c>
      <c r="AG17" s="8">
        <f t="shared" si="2"/>
        <v>3.1082160909684815E-2</v>
      </c>
      <c r="AH17" s="8">
        <f t="shared" si="3"/>
        <v>2.5497714905048299</v>
      </c>
      <c r="AJ17" s="1"/>
    </row>
    <row r="18" spans="2:36" ht="16.5" x14ac:dyDescent="0.3">
      <c r="B18" s="7" t="s">
        <v>86</v>
      </c>
      <c r="C18" s="6">
        <v>7.7999999999999996E-3</v>
      </c>
      <c r="D18" s="5" t="s">
        <v>27</v>
      </c>
      <c r="F18" s="6">
        <v>11</v>
      </c>
      <c r="G18" s="6">
        <v>100</v>
      </c>
      <c r="H18" s="8">
        <f t="shared" si="26"/>
        <v>2.5497714905048299</v>
      </c>
      <c r="I18" s="8">
        <f t="shared" si="27"/>
        <v>284.98333333333352</v>
      </c>
      <c r="J18" s="8">
        <f t="shared" si="4"/>
        <v>0.94809860565152115</v>
      </c>
      <c r="K18" s="8">
        <f t="shared" si="5"/>
        <v>18.292639678449902</v>
      </c>
      <c r="L18" s="58">
        <f t="shared" si="6"/>
        <v>5.9372843798550248</v>
      </c>
      <c r="M18" s="59">
        <f t="shared" si="7"/>
        <v>5.9392296085803231</v>
      </c>
      <c r="N18" s="74">
        <f t="shared" si="8"/>
        <v>2.5743073275512882E-4</v>
      </c>
      <c r="O18" s="60">
        <f t="shared" si="1"/>
        <v>3.2752206152940181E-4</v>
      </c>
      <c r="P18" s="66">
        <f t="shared" si="9"/>
        <v>18.614170496921002</v>
      </c>
      <c r="Q18" s="67">
        <f t="shared" si="10"/>
        <v>28.008492304817853</v>
      </c>
      <c r="R18" s="67">
        <f t="shared" si="11"/>
        <v>35.969926879655318</v>
      </c>
      <c r="S18" s="67">
        <f t="shared" si="12"/>
        <v>3.8469833152294752</v>
      </c>
      <c r="T18" s="69">
        <f t="shared" si="13"/>
        <v>1.464707837680433E-2</v>
      </c>
      <c r="U18" s="69">
        <f t="shared" si="14"/>
        <v>5.6347066132424684E-2</v>
      </c>
      <c r="V18" s="69">
        <f t="shared" si="15"/>
        <v>73.608969233176353</v>
      </c>
      <c r="W18" s="69">
        <f t="shared" si="16"/>
        <v>8.0224551940498105E-3</v>
      </c>
      <c r="X18" s="69">
        <f t="shared" si="17"/>
        <v>26.168342990298449</v>
      </c>
      <c r="Y18" s="69">
        <f t="shared" si="18"/>
        <v>3.1251685010976467E-3</v>
      </c>
      <c r="Z18" s="10">
        <f t="shared" si="19"/>
        <v>921281.9379539626</v>
      </c>
      <c r="AA18" s="11">
        <f t="shared" si="20"/>
        <v>1.325172364878933E-2</v>
      </c>
      <c r="AB18" s="11">
        <f t="shared" si="21"/>
        <v>0.1031568192274832</v>
      </c>
      <c r="AC18" s="11">
        <f t="shared" si="22"/>
        <v>0.20121800821564897</v>
      </c>
      <c r="AD18" s="11">
        <f t="shared" si="23"/>
        <v>1.6205418131583368E-2</v>
      </c>
      <c r="AE18" s="11">
        <f t="shared" si="24"/>
        <v>26.168342990298449</v>
      </c>
      <c r="AF18" s="10">
        <f t="shared" si="25"/>
        <v>309.90632029503195</v>
      </c>
      <c r="AG18" s="8">
        <f t="shared" si="2"/>
        <v>3.0990632029503196E-2</v>
      </c>
      <c r="AH18" s="16">
        <f t="shared" si="3"/>
        <v>2.5187808584753268</v>
      </c>
      <c r="AJ18" s="1"/>
    </row>
    <row r="19" spans="2:36" x14ac:dyDescent="0.25">
      <c r="B19" s="9"/>
      <c r="C19" s="8"/>
      <c r="E19" s="28" t="s">
        <v>71</v>
      </c>
      <c r="F19" s="6">
        <v>12</v>
      </c>
      <c r="G19" s="6">
        <v>0</v>
      </c>
      <c r="H19" s="16">
        <f>AH18</f>
        <v>2.5187808584753268</v>
      </c>
      <c r="I19" s="8">
        <f t="shared" si="27"/>
        <v>283.1500000000002</v>
      </c>
      <c r="J19" s="8">
        <f t="shared" si="4"/>
        <v>0.94755417104196848</v>
      </c>
      <c r="K19" s="8">
        <f t="shared" si="5"/>
        <v>18.197756912455599</v>
      </c>
      <c r="L19" s="5"/>
      <c r="M19" s="52"/>
      <c r="N19" s="52"/>
      <c r="O19" s="5"/>
      <c r="P19" s="5"/>
      <c r="Q19" s="62"/>
      <c r="R19" s="62"/>
      <c r="S19" s="62"/>
      <c r="T19" s="62"/>
      <c r="U19" s="70"/>
      <c r="V19" s="70"/>
      <c r="W19" s="70"/>
      <c r="X19" s="70"/>
      <c r="Y19" s="62"/>
      <c r="Z19" s="71"/>
      <c r="AA19" s="85"/>
      <c r="AB19" s="85"/>
      <c r="AC19" s="85"/>
      <c r="AD19" s="85"/>
      <c r="AE19" s="85"/>
      <c r="AF19" s="5"/>
      <c r="AG19" s="5"/>
      <c r="AJ19" s="1"/>
    </row>
    <row r="20" spans="2:36" x14ac:dyDescent="0.25">
      <c r="B20" s="6" t="s">
        <v>72</v>
      </c>
      <c r="C20" s="6">
        <v>12</v>
      </c>
      <c r="D20" s="5" t="s">
        <v>73</v>
      </c>
      <c r="L20" s="5"/>
      <c r="M20" s="52"/>
      <c r="N20" s="52"/>
      <c r="O20" s="5"/>
      <c r="P20" s="5"/>
      <c r="Q20" s="62"/>
      <c r="R20" s="62"/>
      <c r="S20" s="62"/>
      <c r="T20" s="62"/>
      <c r="U20" s="70"/>
      <c r="V20" s="70"/>
      <c r="W20" s="70"/>
      <c r="X20" s="70"/>
      <c r="Y20" s="62"/>
      <c r="Z20" s="71"/>
      <c r="AA20" s="85"/>
      <c r="AB20" s="85"/>
      <c r="AC20" s="85"/>
      <c r="AD20" s="85"/>
      <c r="AE20" s="85"/>
      <c r="AF20" s="5"/>
      <c r="AG20" s="5"/>
      <c r="AJ20" s="1"/>
    </row>
    <row r="21" spans="2:36" x14ac:dyDescent="0.25">
      <c r="B21" s="8" t="s">
        <v>74</v>
      </c>
      <c r="C21" s="8">
        <f>C20*C6</f>
        <v>1320</v>
      </c>
      <c r="D21" s="5" t="s">
        <v>75</v>
      </c>
      <c r="L21" s="5"/>
      <c r="M21" s="52"/>
      <c r="N21" s="52"/>
      <c r="O21" s="5"/>
      <c r="P21" s="5"/>
      <c r="Q21" s="62"/>
      <c r="R21" s="62"/>
      <c r="S21" s="62"/>
      <c r="T21" s="62"/>
      <c r="U21" s="70"/>
      <c r="V21" s="70"/>
      <c r="W21" s="70"/>
      <c r="X21" s="70"/>
      <c r="Y21" s="62"/>
      <c r="Z21" s="71"/>
      <c r="AA21" s="85"/>
      <c r="AB21" s="85"/>
      <c r="AC21" s="85"/>
      <c r="AD21" s="85"/>
      <c r="AE21" s="85"/>
      <c r="AF21" s="5"/>
      <c r="AG21" s="5"/>
      <c r="AJ21" s="1"/>
    </row>
    <row r="22" spans="2:36" x14ac:dyDescent="0.25">
      <c r="B22" s="16" t="s">
        <v>76</v>
      </c>
      <c r="C22" s="50">
        <f>C21/1000/24/3600/(3.14159*C16^2/4)</f>
        <v>1.9452287252986896E-3</v>
      </c>
      <c r="D22" s="5" t="s">
        <v>45</v>
      </c>
      <c r="L22" s="5"/>
      <c r="M22" s="52"/>
      <c r="N22" s="52"/>
      <c r="O22" s="5"/>
      <c r="P22" s="5"/>
      <c r="Q22" s="62"/>
      <c r="R22" s="62"/>
      <c r="S22" s="62"/>
      <c r="T22" s="62"/>
      <c r="U22" s="70"/>
      <c r="V22" s="70"/>
      <c r="W22" s="70"/>
      <c r="X22" s="70"/>
      <c r="Y22" s="62"/>
      <c r="Z22" s="71"/>
      <c r="AA22" s="85"/>
      <c r="AB22" s="85"/>
      <c r="AC22" s="85"/>
      <c r="AD22" s="85"/>
      <c r="AE22" s="85"/>
      <c r="AF22" s="5"/>
      <c r="AG22" s="5"/>
    </row>
    <row r="23" spans="2:36" x14ac:dyDescent="0.25">
      <c r="B23" s="5"/>
      <c r="C23" s="52"/>
      <c r="L23" s="5"/>
      <c r="M23" s="5"/>
      <c r="N23" s="5"/>
      <c r="O23" s="5"/>
      <c r="P23" s="5"/>
      <c r="Q23" s="62"/>
      <c r="R23" s="62"/>
      <c r="S23" s="62"/>
      <c r="T23" s="62"/>
      <c r="U23" s="62"/>
      <c r="V23" s="62"/>
      <c r="W23" s="62"/>
      <c r="X23" s="62"/>
      <c r="Y23" s="62"/>
      <c r="Z23" s="71"/>
      <c r="AA23" s="85"/>
      <c r="AB23" s="85"/>
      <c r="AC23" s="85"/>
      <c r="AD23" s="85"/>
      <c r="AE23" s="85"/>
      <c r="AF23" s="5"/>
      <c r="AG23" s="5"/>
    </row>
    <row r="24" spans="2:36" x14ac:dyDescent="0.25">
      <c r="B24" s="6" t="s">
        <v>81</v>
      </c>
      <c r="C24" s="28">
        <v>1000</v>
      </c>
      <c r="D24" s="2"/>
    </row>
    <row r="25" spans="2:36" ht="15.75" x14ac:dyDescent="0.25">
      <c r="B25" s="55" t="s">
        <v>82</v>
      </c>
      <c r="C25" s="96">
        <v>7.1999999999999995E-2</v>
      </c>
      <c r="D25" s="2"/>
    </row>
    <row r="26" spans="2:36" x14ac:dyDescent="0.25">
      <c r="B26" s="8" t="s">
        <v>98</v>
      </c>
      <c r="C26" s="97">
        <f>C22*(C24/9.80665/C25)^0.25</f>
        <v>1.1933212687521738E-2</v>
      </c>
      <c r="D26" s="2"/>
    </row>
    <row r="27" spans="2:36" x14ac:dyDescent="0.25">
      <c r="B27" s="6" t="s">
        <v>102</v>
      </c>
      <c r="C27" s="28">
        <v>1E-3</v>
      </c>
      <c r="D27" s="2" t="s">
        <v>103</v>
      </c>
    </row>
    <row r="28" spans="2:36" x14ac:dyDescent="0.25">
      <c r="D28" s="2"/>
    </row>
    <row r="29" spans="2:36" x14ac:dyDescent="0.25">
      <c r="C29" s="37"/>
      <c r="D29" s="2"/>
    </row>
    <row r="30" spans="2:36" x14ac:dyDescent="0.25">
      <c r="B30" s="38"/>
      <c r="D30" s="2"/>
    </row>
    <row r="31" spans="2:36" x14ac:dyDescent="0.25">
      <c r="D31" s="2"/>
    </row>
    <row r="32" spans="2:36" x14ac:dyDescent="0.25">
      <c r="D32" s="2"/>
    </row>
    <row r="33" spans="4:4" x14ac:dyDescent="0.25">
      <c r="D33" s="23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7098-F7A1-4F4F-92C9-8ADA991A1E5B}">
  <dimension ref="A2:AJ33"/>
  <sheetViews>
    <sheetView topLeftCell="E1" workbookViewId="0">
      <selection activeCell="M23" sqref="M23"/>
    </sheetView>
  </sheetViews>
  <sheetFormatPr defaultRowHeight="15" x14ac:dyDescent="0.25"/>
  <cols>
    <col min="1" max="1" width="11.42578125" customWidth="1"/>
    <col min="4" max="4" width="18.28515625" style="5" customWidth="1"/>
    <col min="5" max="5" width="12.140625" style="27" customWidth="1"/>
    <col min="6" max="6" width="6" customWidth="1"/>
    <col min="15" max="16" width="9.5703125" customWidth="1"/>
    <col min="17" max="24" width="9.5703125" style="61" customWidth="1"/>
    <col min="25" max="25" width="9.140625" style="2"/>
    <col min="26" max="26" width="9.140625" style="3"/>
    <col min="30" max="30" width="9.140625" style="46"/>
    <col min="33" max="33" width="5.42578125" customWidth="1"/>
    <col min="35" max="35" width="4.7109375" customWidth="1"/>
  </cols>
  <sheetData>
    <row r="2" spans="1:36" x14ac:dyDescent="0.25">
      <c r="G2" s="17" t="s">
        <v>80</v>
      </c>
      <c r="H2" s="16"/>
      <c r="I2" s="16"/>
      <c r="J2" s="16"/>
      <c r="AF2" s="17" t="s">
        <v>50</v>
      </c>
      <c r="AG2" s="17"/>
      <c r="AH2" s="17"/>
      <c r="AI2" s="16"/>
    </row>
    <row r="3" spans="1:36" x14ac:dyDescent="0.25">
      <c r="B3" s="6" t="s">
        <v>7</v>
      </c>
      <c r="C3" s="6">
        <v>3</v>
      </c>
      <c r="D3" s="5" t="s">
        <v>24</v>
      </c>
      <c r="AG3" s="18" t="s">
        <v>51</v>
      </c>
      <c r="AH3" s="18"/>
      <c r="AI3" s="18" t="s">
        <v>52</v>
      </c>
      <c r="AJ3" s="18"/>
    </row>
    <row r="4" spans="1:36" ht="18.75" x14ac:dyDescent="0.35">
      <c r="A4" s="5"/>
      <c r="B4" s="6" t="s">
        <v>0</v>
      </c>
      <c r="C4" s="6">
        <v>5.0000000000000001E-3</v>
      </c>
      <c r="D4" s="5" t="s">
        <v>41</v>
      </c>
      <c r="K4" s="14" t="s">
        <v>47</v>
      </c>
      <c r="L4" s="12">
        <f>C6*1000/24/3600</f>
        <v>1.2731481481481481</v>
      </c>
      <c r="M4" s="15" t="s">
        <v>48</v>
      </c>
      <c r="N4" s="15"/>
      <c r="O4" s="43"/>
      <c r="P4" s="43"/>
      <c r="Q4" s="62"/>
      <c r="R4" s="62"/>
      <c r="S4" s="62"/>
      <c r="T4" s="62"/>
      <c r="U4" s="62"/>
      <c r="V4" s="62"/>
      <c r="W4" s="62"/>
      <c r="X4" s="62"/>
      <c r="AG4" s="19">
        <v>1</v>
      </c>
      <c r="AH4" s="19"/>
      <c r="AI4" s="19">
        <v>2</v>
      </c>
      <c r="AJ4" s="18"/>
    </row>
    <row r="5" spans="1:36" ht="17.25" x14ac:dyDescent="0.25">
      <c r="A5" s="5"/>
      <c r="B5" s="6" t="s">
        <v>1</v>
      </c>
      <c r="C5" s="6">
        <v>5.0000000000000004E-6</v>
      </c>
      <c r="D5" s="5" t="s">
        <v>42</v>
      </c>
      <c r="G5" s="19" t="s">
        <v>46</v>
      </c>
      <c r="H5" s="19" t="s">
        <v>24</v>
      </c>
      <c r="I5" s="19" t="s">
        <v>36</v>
      </c>
      <c r="J5" s="19"/>
      <c r="K5" s="19" t="s">
        <v>44</v>
      </c>
      <c r="L5" s="19" t="s">
        <v>45</v>
      </c>
      <c r="M5" s="19" t="s">
        <v>45</v>
      </c>
      <c r="N5" s="19"/>
      <c r="O5" s="19"/>
      <c r="P5" s="19"/>
      <c r="Q5" s="65"/>
      <c r="R5" s="65"/>
      <c r="S5" s="65"/>
      <c r="T5" s="65"/>
      <c r="U5" s="65"/>
      <c r="V5" s="65"/>
      <c r="W5" s="65"/>
      <c r="X5" s="65"/>
      <c r="Y5" s="30"/>
      <c r="Z5" s="31"/>
      <c r="AA5" s="19" t="s">
        <v>31</v>
      </c>
      <c r="AB5" s="19" t="s">
        <v>24</v>
      </c>
      <c r="AC5" s="44" t="s">
        <v>24</v>
      </c>
      <c r="AD5" s="47"/>
      <c r="AE5" s="5"/>
      <c r="AG5" s="20" t="s">
        <v>19</v>
      </c>
      <c r="AH5" s="20">
        <f>0.03419*C14/1.205*G7/J7/C11</f>
        <v>8.1128605941939644E-2</v>
      </c>
      <c r="AI5" s="21" t="s">
        <v>20</v>
      </c>
      <c r="AJ5" s="21">
        <f>0.03419*C14/1.205*G7/AH10/C11</f>
        <v>8.1573648177017982E-2</v>
      </c>
    </row>
    <row r="6" spans="1:36" ht="18.75" x14ac:dyDescent="0.35">
      <c r="B6" s="6" t="s">
        <v>5</v>
      </c>
      <c r="C6" s="6">
        <v>110</v>
      </c>
      <c r="D6" s="5" t="s">
        <v>43</v>
      </c>
      <c r="E6" s="28" t="s">
        <v>70</v>
      </c>
      <c r="F6" s="6"/>
      <c r="G6" s="33" t="s">
        <v>6</v>
      </c>
      <c r="H6" s="34" t="s">
        <v>8</v>
      </c>
      <c r="I6" s="34" t="s">
        <v>4</v>
      </c>
      <c r="J6" s="34" t="s">
        <v>10</v>
      </c>
      <c r="K6" s="72" t="s">
        <v>88</v>
      </c>
      <c r="L6" s="57" t="s">
        <v>3</v>
      </c>
      <c r="M6" s="34" t="s">
        <v>89</v>
      </c>
      <c r="N6" s="34" t="s">
        <v>90</v>
      </c>
      <c r="O6" s="73" t="s">
        <v>1</v>
      </c>
      <c r="P6" s="73" t="s">
        <v>91</v>
      </c>
      <c r="Q6" s="63" t="s">
        <v>92</v>
      </c>
      <c r="R6" s="63" t="s">
        <v>83</v>
      </c>
      <c r="S6" s="63" t="s">
        <v>84</v>
      </c>
      <c r="T6" s="73" t="s">
        <v>77</v>
      </c>
      <c r="U6" s="73" t="s">
        <v>93</v>
      </c>
      <c r="V6" s="73" t="s">
        <v>85</v>
      </c>
      <c r="W6" s="73" t="s">
        <v>26</v>
      </c>
      <c r="X6" s="73" t="s">
        <v>28</v>
      </c>
      <c r="Y6" s="35" t="s">
        <v>23</v>
      </c>
      <c r="Z6" s="36" t="s">
        <v>87</v>
      </c>
      <c r="AA6" s="34" t="s">
        <v>30</v>
      </c>
      <c r="AB6" s="34" t="s">
        <v>18</v>
      </c>
      <c r="AC6" s="45" t="s">
        <v>8</v>
      </c>
      <c r="AD6" s="47"/>
      <c r="AE6" s="42"/>
      <c r="AG6" s="20" t="s">
        <v>32</v>
      </c>
      <c r="AH6" s="20">
        <f>EXP(-2*AH5)</f>
        <v>0.8502224890851976</v>
      </c>
      <c r="AI6" s="21"/>
      <c r="AJ6" s="21">
        <f t="shared" ref="AJ6" si="0">EXP(-2*AJ5)</f>
        <v>0.84946605594612012</v>
      </c>
    </row>
    <row r="7" spans="1:36" x14ac:dyDescent="0.25">
      <c r="B7" s="12" t="s">
        <v>9</v>
      </c>
      <c r="C7" s="12">
        <f>(C3^2-C4*C6-C5*C6^2)^0.5</f>
        <v>2.8964633607211399</v>
      </c>
      <c r="D7" s="5" t="s">
        <v>24</v>
      </c>
      <c r="F7" s="6">
        <v>0</v>
      </c>
      <c r="G7" s="6">
        <v>1200</v>
      </c>
      <c r="H7" s="6">
        <f>C7</f>
        <v>2.8964633607211399</v>
      </c>
      <c r="I7" s="6">
        <f>C9</f>
        <v>305.14999999999998</v>
      </c>
      <c r="J7" s="8">
        <f>1/(1+(98-0.27*I7)*H7/10000*1000000/98066.5)</f>
        <v>0.95592811844703995</v>
      </c>
      <c r="K7" s="8">
        <f>C$14*H7/I7/J7*293.15*1000000/101325</f>
        <v>19.247641330305306</v>
      </c>
      <c r="L7" s="58">
        <f>L$4*C$14/K7/(3.14159*C$16^2/4)</f>
        <v>5.6426967837442605</v>
      </c>
      <c r="M7" s="59">
        <f>L7+C$22</f>
        <v>5.6446420124695589</v>
      </c>
      <c r="N7" s="59">
        <f>9.80665*(C$24-K7)*C$16^2/C$25</f>
        <v>1335.8187664094671</v>
      </c>
      <c r="O7" s="60">
        <f t="shared" ref="O7:O18" si="1">C$22/(C$22+L7)</f>
        <v>3.4461507408290761E-4</v>
      </c>
      <c r="P7" s="66">
        <f>C$24*O7+K7*(1-O7)</f>
        <v>19.585623377045248</v>
      </c>
      <c r="Q7" s="67">
        <f>P7^2*M7^4/9.80665/C$25/(C$24-K7)</f>
        <v>562.35152864208976</v>
      </c>
      <c r="R7" s="64">
        <f>C$22/L7</f>
        <v>3.4473387457263231E-4</v>
      </c>
      <c r="S7" s="68">
        <f>0.0814*(1-0.0554*LN(1+730*R7/(1+R7)))</f>
        <v>8.0388063901817811E-2</v>
      </c>
      <c r="T7" s="107">
        <f>1-(1-EXP(-2.314*(Q7*(1+205/N7)^S7)))/(1+R7)</f>
        <v>3.4461507408278802E-4</v>
      </c>
      <c r="U7" s="69">
        <f>T7*C$24+(1-T7)*K7</f>
        <v>19.585623377045135</v>
      </c>
      <c r="V7" s="69">
        <f>28.5*C$25/P7/M7^2</f>
        <v>3.2882675734826907E-3</v>
      </c>
      <c r="W7" s="69">
        <f>C$18+R7*(V7-C$18)/0.007</f>
        <v>7.5778075713673863E-3</v>
      </c>
      <c r="X7" s="69">
        <f>W7/C$16/1000</f>
        <v>7.5778075713673861E-5</v>
      </c>
      <c r="Y7" s="10">
        <f t="shared" ref="Y7:Y18" si="2">L7*K7*C$16/C$17</f>
        <v>905071.69857647375</v>
      </c>
      <c r="Z7" s="11">
        <f>(-2*LOG10(X7/3.7-5.02/Y7*LOG10(X7/3.7+13/Y7)))^(-2)</f>
        <v>1.3243418672906364E-2</v>
      </c>
      <c r="AA7" s="94">
        <f>Z7/2*P7*M7^2/C$16+U7*9.80665</f>
        <v>233.39125706056342</v>
      </c>
      <c r="AB7" s="8">
        <f t="shared" ref="AB7:AB18" si="3">(AA7*(G7-G8))/1000000</f>
        <v>2.3339125706056341E-2</v>
      </c>
      <c r="AC7" s="58">
        <f t="shared" ref="AC7:AC18" si="4">H7-AB7</f>
        <v>2.8731242350150836</v>
      </c>
      <c r="AD7" s="46">
        <f>P7^2*M7^2*(1/P8-1/P7)/100</f>
        <v>6.4516393610023308E-3</v>
      </c>
      <c r="AE7" s="41"/>
      <c r="AG7" s="20" t="s">
        <v>33</v>
      </c>
      <c r="AH7" s="20">
        <f>((H7*10.197)^2*AH6+1.377*Z7*J7^2*C11^2/(C16*100)^5*(AH6-1)*C6^2)^0.5</f>
        <v>26.74965194229965</v>
      </c>
      <c r="AI7" s="21"/>
      <c r="AJ7" s="21">
        <f>((H7*10.197)^2*AJ6+1.377*Z7*AH10^2*C11^2/(C16*100)^5*(AJ6-1)*C6^2)^0.5</f>
        <v>26.740191325100369</v>
      </c>
    </row>
    <row r="8" spans="1:36" x14ac:dyDescent="0.25">
      <c r="F8" s="6">
        <v>1</v>
      </c>
      <c r="G8" s="6">
        <v>1100</v>
      </c>
      <c r="H8" s="8">
        <f>AC7</f>
        <v>2.8731242350150836</v>
      </c>
      <c r="I8" s="8">
        <f>I7-C$12</f>
        <v>303.31666666666666</v>
      </c>
      <c r="J8" s="8">
        <f t="shared" ref="J8:J19" si="5">1/(1+(98-0.27*I8)*H8/10000*1000000/98066.5)</f>
        <v>0.95494338111575217</v>
      </c>
      <c r="K8" s="8">
        <f t="shared" ref="K8:K19" si="6">C$14*H8/I8/J8*293.15*1000000/101325</f>
        <v>19.22775575485354</v>
      </c>
      <c r="L8" s="58">
        <f t="shared" ref="L8:L18" si="7">L$4*C$14/K8/(3.14159*C$16^2/4)</f>
        <v>5.6485325283873271</v>
      </c>
      <c r="M8" s="59">
        <f t="shared" ref="M8:M18" si="8">L8+C$22</f>
        <v>5.6504777571126255</v>
      </c>
      <c r="N8" s="59">
        <f t="shared" ref="N8:N18" si="9">9.80665*(C$24-K8)*C$16^2/C$25</f>
        <v>1335.8458512537038</v>
      </c>
      <c r="O8" s="60">
        <f t="shared" si="1"/>
        <v>3.442591598294681E-4</v>
      </c>
      <c r="P8" s="66">
        <f t="shared" ref="P8:P18" si="10">C$24*O8+K8*(1-O8)</f>
        <v>19.565395583641436</v>
      </c>
      <c r="Q8" s="67">
        <f t="shared" ref="Q8:Q18" si="11">P8^2*M8^4/9.80665/C$25/(C$24-K8)</f>
        <v>563.503484742463</v>
      </c>
      <c r="R8" s="64">
        <f t="shared" ref="R8:R18" si="12">C$22/L8</f>
        <v>3.4437771501230217E-4</v>
      </c>
      <c r="S8" s="68">
        <f t="shared" ref="S8:S18" si="13">0.0814*(1-0.0554*LN(1+730*R8/(1+R8)))</f>
        <v>8.0389000153678142E-2</v>
      </c>
      <c r="T8" s="107">
        <f t="shared" ref="T8:T18" si="14">1-(1-EXP(-2.314*(Q8*(1+205/N8)^S8)))/(1+R8)</f>
        <v>3.442591598294964E-4</v>
      </c>
      <c r="U8" s="69">
        <f t="shared" ref="U8:U18" si="15">T8*C$24+(1-T8)*K8</f>
        <v>19.565395583641461</v>
      </c>
      <c r="V8" s="69">
        <f t="shared" ref="V8:V18" si="16">28.5*C$25/P8/M8^2</f>
        <v>3.2848714907615854E-3</v>
      </c>
      <c r="W8" s="69">
        <f t="shared" ref="W8:W18" si="17">C$18+R8*(V8-C$18)/0.007</f>
        <v>7.5778700515716528E-3</v>
      </c>
      <c r="X8" s="69">
        <f t="shared" ref="X8:X18" si="18">W8/C$16/1000</f>
        <v>7.5778700515716525E-5</v>
      </c>
      <c r="Y8" s="10">
        <f t="shared" si="2"/>
        <v>905071.69857647375</v>
      </c>
      <c r="Z8" s="11">
        <f t="shared" ref="Z8:Z18" si="19">(-2*LOG10(X8/3.7-5.02/Y8*LOG10(X8/3.7+13/Y8)))^(-2)</f>
        <v>1.3243427878984332E-2</v>
      </c>
      <c r="AA8" s="94">
        <f t="shared" ref="AA8:AA18" si="20">Z8/2*P8*M8^2/C$16+U8*9.80665</f>
        <v>233.23563980532816</v>
      </c>
      <c r="AB8" s="8">
        <f t="shared" si="3"/>
        <v>2.3323563980532817E-2</v>
      </c>
      <c r="AC8" s="58">
        <f t="shared" si="4"/>
        <v>2.8498006710345507</v>
      </c>
      <c r="AE8" s="41"/>
      <c r="AG8" s="4"/>
      <c r="AH8" s="4"/>
      <c r="AJ8" s="17">
        <f>AJ7/10.197</f>
        <v>2.622358666774578</v>
      </c>
    </row>
    <row r="9" spans="1:36" x14ac:dyDescent="0.25">
      <c r="A9">
        <v>32</v>
      </c>
      <c r="B9" s="6" t="s">
        <v>11</v>
      </c>
      <c r="C9" s="6">
        <f>A9+273.15</f>
        <v>305.14999999999998</v>
      </c>
      <c r="D9" s="5" t="s">
        <v>36</v>
      </c>
      <c r="F9" s="6">
        <v>2</v>
      </c>
      <c r="G9" s="6">
        <v>1000</v>
      </c>
      <c r="H9" s="8">
        <f t="shared" ref="H9:H18" si="21">AC8</f>
        <v>2.8498006710345507</v>
      </c>
      <c r="I9" s="8">
        <f t="shared" ref="I9:I19" si="22">I8-C$12</f>
        <v>301.48333333333335</v>
      </c>
      <c r="J9" s="8">
        <f t="shared" si="5"/>
        <v>0.9539818730244799</v>
      </c>
      <c r="K9" s="8">
        <f t="shared" si="6"/>
        <v>19.206982568931529</v>
      </c>
      <c r="L9" s="58">
        <f t="shared" si="7"/>
        <v>5.6546416616662061</v>
      </c>
      <c r="M9" s="59">
        <f t="shared" si="8"/>
        <v>5.6565868903915044</v>
      </c>
      <c r="N9" s="59">
        <f t="shared" si="9"/>
        <v>1335.8741450542209</v>
      </c>
      <c r="O9" s="60">
        <f t="shared" si="1"/>
        <v>3.4388735875390329E-4</v>
      </c>
      <c r="P9" s="66">
        <f t="shared" si="10"/>
        <v>19.54426488918017</v>
      </c>
      <c r="Q9" s="67">
        <f t="shared" si="11"/>
        <v>564.71066998990636</v>
      </c>
      <c r="R9" s="64">
        <f t="shared" si="12"/>
        <v>3.4400565795101245E-4</v>
      </c>
      <c r="S9" s="68">
        <f t="shared" si="13"/>
        <v>8.0389978404323353E-2</v>
      </c>
      <c r="T9" s="107">
        <f t="shared" si="14"/>
        <v>3.4388735875401366E-4</v>
      </c>
      <c r="U9" s="69">
        <f t="shared" si="15"/>
        <v>19.54426488918028</v>
      </c>
      <c r="V9" s="69">
        <f t="shared" si="16"/>
        <v>3.2813238182640343E-3</v>
      </c>
      <c r="W9" s="69">
        <f t="shared" si="17"/>
        <v>7.5779356895763353E-3</v>
      </c>
      <c r="X9" s="69">
        <f t="shared" si="18"/>
        <v>7.5779356895763343E-5</v>
      </c>
      <c r="Y9" s="10">
        <f t="shared" si="2"/>
        <v>905071.69857647375</v>
      </c>
      <c r="Z9" s="11">
        <f t="shared" si="19"/>
        <v>1.3243437550324411E-2</v>
      </c>
      <c r="AA9" s="94">
        <f t="shared" si="20"/>
        <v>233.07317098851109</v>
      </c>
      <c r="AB9" s="8">
        <f t="shared" si="3"/>
        <v>2.3307317098851109E-2</v>
      </c>
      <c r="AC9" s="58">
        <f t="shared" si="4"/>
        <v>2.8264933539356996</v>
      </c>
      <c r="AE9" s="1"/>
      <c r="AG9" s="20" t="s">
        <v>21</v>
      </c>
      <c r="AH9" s="20">
        <f>1/(1+(98-0.27*C10)*AH7/10000)</f>
        <v>0.94549758368697367</v>
      </c>
    </row>
    <row r="10" spans="1:36" x14ac:dyDescent="0.25">
      <c r="A10">
        <v>10</v>
      </c>
      <c r="B10" s="6" t="s">
        <v>12</v>
      </c>
      <c r="C10" s="6">
        <f>A10+273.15</f>
        <v>283.14999999999998</v>
      </c>
      <c r="D10" s="5" t="s">
        <v>36</v>
      </c>
      <c r="F10" s="6">
        <v>3</v>
      </c>
      <c r="G10" s="6">
        <v>900</v>
      </c>
      <c r="H10" s="8">
        <f t="shared" si="21"/>
        <v>2.8264933539356996</v>
      </c>
      <c r="I10" s="8">
        <f t="shared" si="22"/>
        <v>299.65000000000003</v>
      </c>
      <c r="J10" s="8">
        <f t="shared" si="5"/>
        <v>0.95304342777605922</v>
      </c>
      <c r="K10" s="8">
        <f t="shared" si="6"/>
        <v>19.185321644767633</v>
      </c>
      <c r="L10" s="58">
        <f t="shared" si="7"/>
        <v>5.6610259572477588</v>
      </c>
      <c r="M10" s="59">
        <f t="shared" si="8"/>
        <v>5.6629711859730572</v>
      </c>
      <c r="N10" s="59">
        <f t="shared" si="9"/>
        <v>1335.9036479850472</v>
      </c>
      <c r="O10" s="60">
        <f t="shared" si="1"/>
        <v>3.4349966853388552E-4</v>
      </c>
      <c r="P10" s="66">
        <f t="shared" si="10"/>
        <v>19.522231161675823</v>
      </c>
      <c r="Q10" s="67">
        <f t="shared" si="11"/>
        <v>565.97360891035487</v>
      </c>
      <c r="R10" s="64">
        <f t="shared" si="12"/>
        <v>3.4361770110031582E-4</v>
      </c>
      <c r="S10" s="68">
        <f t="shared" si="13"/>
        <v>8.0390998687160917E-2</v>
      </c>
      <c r="T10" s="107">
        <f t="shared" si="14"/>
        <v>3.4349966853386427E-4</v>
      </c>
      <c r="U10" s="69">
        <f t="shared" si="15"/>
        <v>19.522231161675805</v>
      </c>
      <c r="V10" s="69">
        <f t="shared" si="16"/>
        <v>3.277624533830719E-3</v>
      </c>
      <c r="W10" s="69">
        <f t="shared" si="17"/>
        <v>7.5780045341146346E-3</v>
      </c>
      <c r="X10" s="69">
        <f t="shared" si="18"/>
        <v>7.5780045341146334E-5</v>
      </c>
      <c r="Y10" s="10">
        <f t="shared" si="2"/>
        <v>905071.69857647375</v>
      </c>
      <c r="Z10" s="11">
        <f t="shared" si="19"/>
        <v>1.3243447694104056E-2</v>
      </c>
      <c r="AA10" s="94">
        <f t="shared" si="20"/>
        <v>232.90386233159117</v>
      </c>
      <c r="AB10" s="8">
        <f t="shared" si="3"/>
        <v>2.3290386233159117E-2</v>
      </c>
      <c r="AC10" s="58">
        <f t="shared" si="4"/>
        <v>2.8032029677025405</v>
      </c>
      <c r="AE10" s="1"/>
      <c r="AG10" s="20" t="s">
        <v>22</v>
      </c>
      <c r="AH10" s="20">
        <f>(AH9+J7)/2</f>
        <v>0.95071285106700687</v>
      </c>
    </row>
    <row r="11" spans="1:36" x14ac:dyDescent="0.25">
      <c r="B11" s="8" t="s">
        <v>13</v>
      </c>
      <c r="C11" s="8">
        <f>(C9+C10)/2</f>
        <v>294.14999999999998</v>
      </c>
      <c r="D11" s="5" t="s">
        <v>36</v>
      </c>
      <c r="F11" s="6">
        <v>4</v>
      </c>
      <c r="G11" s="6">
        <v>800</v>
      </c>
      <c r="H11" s="8">
        <f t="shared" si="21"/>
        <v>2.8032029677025405</v>
      </c>
      <c r="I11" s="8">
        <f t="shared" si="22"/>
        <v>297.81666666666672</v>
      </c>
      <c r="J11" s="8">
        <f t="shared" si="5"/>
        <v>0.95212788159315742</v>
      </c>
      <c r="K11" s="8">
        <f t="shared" si="6"/>
        <v>19.162772850593711</v>
      </c>
      <c r="L11" s="58">
        <f t="shared" si="7"/>
        <v>5.6676872744860551</v>
      </c>
      <c r="M11" s="59">
        <f t="shared" si="8"/>
        <v>5.6696325032113535</v>
      </c>
      <c r="N11" s="59">
        <f t="shared" si="9"/>
        <v>1335.9343602256567</v>
      </c>
      <c r="O11" s="60">
        <f t="shared" si="1"/>
        <v>3.4309608677403461E-4</v>
      </c>
      <c r="P11" s="66">
        <f t="shared" si="10"/>
        <v>19.499294264990969</v>
      </c>
      <c r="Q11" s="67">
        <f t="shared" si="11"/>
        <v>567.29285240769013</v>
      </c>
      <c r="R11" s="64">
        <f t="shared" si="12"/>
        <v>3.4321384210018584E-4</v>
      </c>
      <c r="S11" s="68">
        <f t="shared" si="13"/>
        <v>8.0392061036983722E-2</v>
      </c>
      <c r="T11" s="107">
        <f t="shared" si="14"/>
        <v>3.430960867740751E-4</v>
      </c>
      <c r="U11" s="69">
        <f t="shared" si="15"/>
        <v>19.499294264991008</v>
      </c>
      <c r="V11" s="69">
        <f t="shared" si="16"/>
        <v>3.2737736146052645E-3</v>
      </c>
      <c r="W11" s="69">
        <f t="shared" si="17"/>
        <v>7.5780766360076333E-3</v>
      </c>
      <c r="X11" s="69">
        <f t="shared" si="18"/>
        <v>7.5780766360076333E-5</v>
      </c>
      <c r="Y11" s="10">
        <f t="shared" si="2"/>
        <v>905071.69857647375</v>
      </c>
      <c r="Z11" s="11">
        <f t="shared" si="19"/>
        <v>1.3243458317808141E-2</v>
      </c>
      <c r="AA11" s="94">
        <f t="shared" si="20"/>
        <v>232.72772614414987</v>
      </c>
      <c r="AB11" s="8">
        <f t="shared" si="3"/>
        <v>2.3272772614414985E-2</v>
      </c>
      <c r="AC11" s="58">
        <f t="shared" si="4"/>
        <v>2.7799301950881254</v>
      </c>
      <c r="AE11" s="1"/>
    </row>
    <row r="12" spans="1:36" x14ac:dyDescent="0.25">
      <c r="B12" s="8" t="s">
        <v>14</v>
      </c>
      <c r="C12" s="8">
        <f>(C9-C10)/F19</f>
        <v>1.8333333333333333</v>
      </c>
      <c r="D12" s="5" t="s">
        <v>36</v>
      </c>
      <c r="F12" s="6">
        <v>5</v>
      </c>
      <c r="G12" s="6">
        <v>700</v>
      </c>
      <c r="H12" s="8">
        <f t="shared" si="21"/>
        <v>2.7799301950881254</v>
      </c>
      <c r="I12" s="8">
        <f t="shared" si="22"/>
        <v>295.98333333333341</v>
      </c>
      <c r="J12" s="8">
        <f t="shared" si="5"/>
        <v>0.95123507327087831</v>
      </c>
      <c r="K12" s="8">
        <f t="shared" si="6"/>
        <v>19.139336047962413</v>
      </c>
      <c r="L12" s="58">
        <f t="shared" si="7"/>
        <v>5.6746275605908174</v>
      </c>
      <c r="M12" s="59">
        <f t="shared" si="8"/>
        <v>5.6765727893161158</v>
      </c>
      <c r="N12" s="59">
        <f t="shared" si="9"/>
        <v>1335.9662819646182</v>
      </c>
      <c r="O12" s="60">
        <f t="shared" si="1"/>
        <v>3.4267661095790171E-4</v>
      </c>
      <c r="P12" s="66">
        <f t="shared" si="10"/>
        <v>19.475454056107417</v>
      </c>
      <c r="Q12" s="67">
        <f t="shared" si="11"/>
        <v>568.66897846640177</v>
      </c>
      <c r="R12" s="64">
        <f t="shared" si="12"/>
        <v>3.4279407847096854E-4</v>
      </c>
      <c r="S12" s="68">
        <f t="shared" si="13"/>
        <v>8.0393165490099977E-2</v>
      </c>
      <c r="T12" s="107">
        <f t="shared" si="14"/>
        <v>3.4267661095799262E-4</v>
      </c>
      <c r="U12" s="69">
        <f t="shared" si="15"/>
        <v>19.475454056107502</v>
      </c>
      <c r="V12" s="69">
        <f t="shared" si="16"/>
        <v>3.2697710365760806E-3</v>
      </c>
      <c r="W12" s="69">
        <f t="shared" si="17"/>
        <v>7.5781520481743719E-3</v>
      </c>
      <c r="X12" s="69">
        <f t="shared" si="18"/>
        <v>7.5781520481743722E-5</v>
      </c>
      <c r="Y12" s="10">
        <f t="shared" si="2"/>
        <v>905071.69857647375</v>
      </c>
      <c r="Z12" s="11">
        <f t="shared" si="19"/>
        <v>1.3243469429230451E-2</v>
      </c>
      <c r="AA12" s="94">
        <f t="shared" si="20"/>
        <v>232.54477531300074</v>
      </c>
      <c r="AB12" s="8">
        <f t="shared" si="3"/>
        <v>2.3254477531300076E-2</v>
      </c>
      <c r="AC12" s="58">
        <f t="shared" si="4"/>
        <v>2.7566757175568255</v>
      </c>
      <c r="AE12" s="1"/>
    </row>
    <row r="13" spans="1:36" x14ac:dyDescent="0.25">
      <c r="F13" s="6">
        <v>6</v>
      </c>
      <c r="G13" s="6">
        <v>600</v>
      </c>
      <c r="H13" s="8">
        <f t="shared" si="21"/>
        <v>2.7566757175568255</v>
      </c>
      <c r="I13" s="8">
        <f t="shared" si="22"/>
        <v>294.15000000000009</v>
      </c>
      <c r="J13" s="8">
        <f t="shared" si="5"/>
        <v>0.95036484413029043</v>
      </c>
      <c r="K13" s="8">
        <f t="shared" si="6"/>
        <v>19.115011088978541</v>
      </c>
      <c r="L13" s="58">
        <f t="shared" si="7"/>
        <v>5.6818488529048832</v>
      </c>
      <c r="M13" s="59">
        <f t="shared" si="8"/>
        <v>5.6837940816301815</v>
      </c>
      <c r="N13" s="59">
        <f t="shared" si="9"/>
        <v>1335.9994134033709</v>
      </c>
      <c r="O13" s="60">
        <f t="shared" si="1"/>
        <v>3.4224123839841404E-4</v>
      </c>
      <c r="P13" s="66">
        <f t="shared" si="10"/>
        <v>19.450710382309865</v>
      </c>
      <c r="Q13" s="67">
        <f t="shared" si="11"/>
        <v>570.10259289274995</v>
      </c>
      <c r="R13" s="64">
        <f t="shared" si="12"/>
        <v>3.4235840756379474E-4</v>
      </c>
      <c r="S13" s="68">
        <f t="shared" si="13"/>
        <v>8.0394312084467512E-2</v>
      </c>
      <c r="T13" s="107">
        <f t="shared" si="14"/>
        <v>3.4224123839832199E-4</v>
      </c>
      <c r="U13" s="69">
        <f t="shared" si="15"/>
        <v>19.450710382309776</v>
      </c>
      <c r="V13" s="69">
        <f t="shared" si="16"/>
        <v>3.2656167741035021E-3</v>
      </c>
      <c r="W13" s="69">
        <f t="shared" si="17"/>
        <v>7.5782308256425847E-3</v>
      </c>
      <c r="X13" s="69">
        <f t="shared" si="18"/>
        <v>7.5782308256425852E-5</v>
      </c>
      <c r="Y13" s="10">
        <f t="shared" si="2"/>
        <v>905071.69857647375</v>
      </c>
      <c r="Z13" s="11">
        <f t="shared" si="19"/>
        <v>1.3243481036475201E-2</v>
      </c>
      <c r="AA13" s="94">
        <f t="shared" si="20"/>
        <v>232.35502329127925</v>
      </c>
      <c r="AB13" s="8">
        <f t="shared" si="3"/>
        <v>2.3235502329127924E-2</v>
      </c>
      <c r="AC13" s="58">
        <f t="shared" si="4"/>
        <v>2.7334402152276978</v>
      </c>
      <c r="AE13" s="1"/>
    </row>
    <row r="14" spans="1:36" x14ac:dyDescent="0.25">
      <c r="A14" t="s">
        <v>38</v>
      </c>
      <c r="B14" s="6" t="s">
        <v>15</v>
      </c>
      <c r="C14" s="6">
        <v>0.67</v>
      </c>
      <c r="D14" s="5" t="s">
        <v>37</v>
      </c>
      <c r="F14" s="6">
        <v>7</v>
      </c>
      <c r="G14" s="6">
        <v>500</v>
      </c>
      <c r="H14" s="8">
        <f t="shared" si="21"/>
        <v>2.7334402152276978</v>
      </c>
      <c r="I14" s="8">
        <f t="shared" si="22"/>
        <v>292.31666666666678</v>
      </c>
      <c r="J14" s="8">
        <f t="shared" si="5"/>
        <v>0.94951703797284703</v>
      </c>
      <c r="K14" s="8">
        <f t="shared" si="6"/>
        <v>19.089797813441674</v>
      </c>
      <c r="L14" s="58">
        <f t="shared" si="7"/>
        <v>5.6893532812957508</v>
      </c>
      <c r="M14" s="59">
        <f t="shared" si="8"/>
        <v>5.6912985100210491</v>
      </c>
      <c r="N14" s="59">
        <f t="shared" si="9"/>
        <v>1336.0337547601132</v>
      </c>
      <c r="O14" s="60">
        <f t="shared" si="1"/>
        <v>3.4178996618673148E-4</v>
      </c>
      <c r="P14" s="66">
        <f t="shared" si="10"/>
        <v>19.425063078279237</v>
      </c>
      <c r="Q14" s="67">
        <f t="shared" si="11"/>
        <v>571.5943300962615</v>
      </c>
      <c r="R14" s="64">
        <f t="shared" si="12"/>
        <v>3.4190682650940313E-4</v>
      </c>
      <c r="S14" s="68">
        <f t="shared" si="13"/>
        <v>8.0395500859832603E-2</v>
      </c>
      <c r="T14" s="107">
        <f t="shared" si="14"/>
        <v>3.4178996618672297E-4</v>
      </c>
      <c r="U14" s="69">
        <f t="shared" si="15"/>
        <v>19.42506307827923</v>
      </c>
      <c r="V14" s="69">
        <f t="shared" si="16"/>
        <v>3.2613107994317954E-3</v>
      </c>
      <c r="W14" s="69">
        <f t="shared" si="17"/>
        <v>7.5783130255601744E-3</v>
      </c>
      <c r="X14" s="69">
        <f t="shared" si="18"/>
        <v>7.5783130255601745E-5</v>
      </c>
      <c r="Y14" s="10">
        <f t="shared" si="2"/>
        <v>905071.69857647375</v>
      </c>
      <c r="Z14" s="11">
        <f t="shared" si="19"/>
        <v>1.3243493147958781E-2</v>
      </c>
      <c r="AA14" s="94">
        <f t="shared" si="20"/>
        <v>232.15848408748445</v>
      </c>
      <c r="AB14" s="8">
        <f t="shared" si="3"/>
        <v>2.3215848408748446E-2</v>
      </c>
      <c r="AC14" s="58">
        <f t="shared" si="4"/>
        <v>2.7102243668189492</v>
      </c>
      <c r="AE14" s="1"/>
    </row>
    <row r="15" spans="1:36" x14ac:dyDescent="0.25">
      <c r="B15" s="5"/>
      <c r="C15" s="5"/>
      <c r="F15" s="6">
        <v>8</v>
      </c>
      <c r="G15" s="6">
        <v>400</v>
      </c>
      <c r="H15" s="8">
        <f t="shared" si="21"/>
        <v>2.7102243668189492</v>
      </c>
      <c r="I15" s="8">
        <f t="shared" si="22"/>
        <v>290.48333333333346</v>
      </c>
      <c r="J15" s="8">
        <f t="shared" si="5"/>
        <v>0.94869150103567879</v>
      </c>
      <c r="K15" s="8">
        <f t="shared" si="6"/>
        <v>19.063696045896538</v>
      </c>
      <c r="L15" s="58">
        <f t="shared" si="7"/>
        <v>5.6971430706667636</v>
      </c>
      <c r="M15" s="59">
        <f t="shared" si="8"/>
        <v>5.699088299392062</v>
      </c>
      <c r="N15" s="59">
        <f t="shared" si="9"/>
        <v>1336.0693062738208</v>
      </c>
      <c r="O15" s="60">
        <f t="shared" si="1"/>
        <v>3.4132279113945166E-4</v>
      </c>
      <c r="P15" s="66">
        <f t="shared" si="10"/>
        <v>19.398511963092169</v>
      </c>
      <c r="Q15" s="67">
        <f t="shared" si="11"/>
        <v>573.14485391358983</v>
      </c>
      <c r="R15" s="64">
        <f t="shared" si="12"/>
        <v>3.4143933216531112E-4</v>
      </c>
      <c r="S15" s="68">
        <f t="shared" si="13"/>
        <v>8.0396731857873577E-2</v>
      </c>
      <c r="T15" s="107">
        <f t="shared" si="14"/>
        <v>3.41322791139409E-4</v>
      </c>
      <c r="U15" s="69">
        <f t="shared" si="15"/>
        <v>19.398511963092126</v>
      </c>
      <c r="V15" s="69">
        <f t="shared" si="16"/>
        <v>3.2568530821853901E-3</v>
      </c>
      <c r="W15" s="69">
        <f t="shared" si="17"/>
        <v>7.5783987072074975E-3</v>
      </c>
      <c r="X15" s="69">
        <f t="shared" si="18"/>
        <v>7.5783987072074971E-5</v>
      </c>
      <c r="Y15" s="10">
        <f t="shared" si="2"/>
        <v>905071.69857647375</v>
      </c>
      <c r="Z15" s="11">
        <f t="shared" si="19"/>
        <v>1.3243505772411486E-2</v>
      </c>
      <c r="AA15" s="94">
        <f t="shared" si="20"/>
        <v>231.95517225445622</v>
      </c>
      <c r="AB15" s="8">
        <f t="shared" si="3"/>
        <v>2.3195517225445623E-2</v>
      </c>
      <c r="AC15" s="58">
        <f t="shared" si="4"/>
        <v>2.6870288495935037</v>
      </c>
      <c r="AE15" s="1"/>
    </row>
    <row r="16" spans="1:36" x14ac:dyDescent="0.25">
      <c r="B16" s="6" t="s">
        <v>17</v>
      </c>
      <c r="C16" s="6">
        <v>0.1</v>
      </c>
      <c r="D16" s="5" t="s">
        <v>39</v>
      </c>
      <c r="F16" s="6">
        <v>9</v>
      </c>
      <c r="G16" s="6">
        <v>300</v>
      </c>
      <c r="H16" s="8">
        <f t="shared" si="21"/>
        <v>2.6870288495935037</v>
      </c>
      <c r="I16" s="8">
        <f t="shared" si="22"/>
        <v>288.65000000000015</v>
      </c>
      <c r="J16" s="8">
        <f t="shared" si="5"/>
        <v>0.947888081947728</v>
      </c>
      <c r="K16" s="8">
        <f t="shared" si="6"/>
        <v>19.036705592587968</v>
      </c>
      <c r="L16" s="58">
        <f t="shared" si="7"/>
        <v>5.7052205435936418</v>
      </c>
      <c r="M16" s="59">
        <f t="shared" si="8"/>
        <v>5.7071657723189402</v>
      </c>
      <c r="N16" s="59">
        <f t="shared" si="9"/>
        <v>1336.1060682083958</v>
      </c>
      <c r="O16" s="60">
        <f t="shared" si="1"/>
        <v>3.4083970974410697E-4</v>
      </c>
      <c r="P16" s="66">
        <f t="shared" si="10"/>
        <v>19.371056837123412</v>
      </c>
      <c r="Q16" s="67">
        <f t="shared" si="11"/>
        <v>574.75485847683069</v>
      </c>
      <c r="R16" s="64">
        <f t="shared" si="12"/>
        <v>3.4095592106127699E-4</v>
      </c>
      <c r="S16" s="68">
        <f t="shared" si="13"/>
        <v>8.0398005122349417E-2</v>
      </c>
      <c r="T16" s="107">
        <f t="shared" si="14"/>
        <v>3.4083970974407851E-4</v>
      </c>
      <c r="U16" s="69">
        <f t="shared" si="15"/>
        <v>19.371056837123383</v>
      </c>
      <c r="V16" s="69">
        <f t="shared" si="16"/>
        <v>3.2522435888488258E-3</v>
      </c>
      <c r="W16" s="69">
        <f t="shared" si="17"/>
        <v>7.5784879320105174E-3</v>
      </c>
      <c r="X16" s="69">
        <f t="shared" si="18"/>
        <v>7.5784879320105165E-5</v>
      </c>
      <c r="Y16" s="10">
        <f t="shared" si="2"/>
        <v>905071.69857647375</v>
      </c>
      <c r="Z16" s="11">
        <f t="shared" si="19"/>
        <v>1.3243518918879489E-2</v>
      </c>
      <c r="AA16" s="94">
        <f t="shared" si="20"/>
        <v>231.74510287834846</v>
      </c>
      <c r="AB16" s="8">
        <f t="shared" si="3"/>
        <v>2.3174510287834849E-2</v>
      </c>
      <c r="AC16" s="58">
        <f t="shared" si="4"/>
        <v>2.6638543393056691</v>
      </c>
      <c r="AE16" s="1"/>
    </row>
    <row r="17" spans="2:31" x14ac:dyDescent="0.25">
      <c r="B17" s="6" t="s">
        <v>25</v>
      </c>
      <c r="C17" s="6">
        <v>1.2E-5</v>
      </c>
      <c r="D17" s="5" t="s">
        <v>40</v>
      </c>
      <c r="F17" s="6">
        <v>10</v>
      </c>
      <c r="G17" s="6">
        <v>200</v>
      </c>
      <c r="H17" s="8">
        <f t="shared" si="21"/>
        <v>2.6638543393056691</v>
      </c>
      <c r="I17" s="8">
        <f t="shared" si="22"/>
        <v>286.81666666666683</v>
      </c>
      <c r="J17" s="8">
        <f t="shared" si="5"/>
        <v>0.94710663168670373</v>
      </c>
      <c r="K17" s="8">
        <f t="shared" si="6"/>
        <v>19.008826238316725</v>
      </c>
      <c r="L17" s="58">
        <f t="shared" si="7"/>
        <v>5.7135881230925687</v>
      </c>
      <c r="M17" s="59">
        <f t="shared" si="8"/>
        <v>5.715533351817867</v>
      </c>
      <c r="N17" s="59">
        <f t="shared" si="9"/>
        <v>1336.1440408569463</v>
      </c>
      <c r="O17" s="60">
        <f t="shared" si="1"/>
        <v>3.403407181028863E-4</v>
      </c>
      <c r="P17" s="66">
        <f t="shared" si="10"/>
        <v>19.34269747884737</v>
      </c>
      <c r="Q17" s="67">
        <f t="shared" si="11"/>
        <v>576.4250691285738</v>
      </c>
      <c r="R17" s="64">
        <f t="shared" si="12"/>
        <v>3.4045658934298614E-4</v>
      </c>
      <c r="S17" s="68">
        <f t="shared" si="13"/>
        <v>8.039932069925336E-2</v>
      </c>
      <c r="T17" s="107">
        <f t="shared" si="14"/>
        <v>3.4034071810296052E-4</v>
      </c>
      <c r="U17" s="69">
        <f t="shared" si="15"/>
        <v>19.342697478847445</v>
      </c>
      <c r="V17" s="69">
        <f t="shared" si="16"/>
        <v>3.2474822822297486E-3</v>
      </c>
      <c r="W17" s="69">
        <f t="shared" si="17"/>
        <v>7.5785807635549178E-3</v>
      </c>
      <c r="X17" s="69">
        <f t="shared" si="18"/>
        <v>7.5785807635549184E-5</v>
      </c>
      <c r="Y17" s="10">
        <f t="shared" si="2"/>
        <v>905071.69857647363</v>
      </c>
      <c r="Z17" s="11">
        <f t="shared" si="19"/>
        <v>1.3243532596726891E-2</v>
      </c>
      <c r="AA17" s="94">
        <f t="shared" si="20"/>
        <v>231.52829156755848</v>
      </c>
      <c r="AB17" s="8">
        <f t="shared" si="3"/>
        <v>2.3152829156755848E-2</v>
      </c>
      <c r="AC17" s="58">
        <f t="shared" si="4"/>
        <v>2.6407015101489133</v>
      </c>
      <c r="AE17" s="1"/>
    </row>
    <row r="18" spans="2:31" ht="16.5" x14ac:dyDescent="0.3">
      <c r="B18" s="7" t="s">
        <v>86</v>
      </c>
      <c r="C18" s="6">
        <v>7.7999999999999996E-3</v>
      </c>
      <c r="D18" s="5" t="s">
        <v>27</v>
      </c>
      <c r="F18" s="6">
        <v>11</v>
      </c>
      <c r="G18" s="6">
        <v>100</v>
      </c>
      <c r="H18" s="8">
        <f t="shared" si="21"/>
        <v>2.6407015101489133</v>
      </c>
      <c r="I18" s="8">
        <f t="shared" si="22"/>
        <v>284.98333333333352</v>
      </c>
      <c r="J18" s="8">
        <f t="shared" si="5"/>
        <v>0.94634700353683343</v>
      </c>
      <c r="K18" s="8">
        <f t="shared" si="6"/>
        <v>18.980057743192337</v>
      </c>
      <c r="L18" s="58">
        <f t="shared" si="7"/>
        <v>5.7222483355263751</v>
      </c>
      <c r="M18" s="59">
        <f t="shared" si="8"/>
        <v>5.7241935642516735</v>
      </c>
      <c r="N18" s="59">
        <f t="shared" si="9"/>
        <v>1336.1832245462117</v>
      </c>
      <c r="O18" s="60">
        <f t="shared" si="1"/>
        <v>3.398258118745134E-4</v>
      </c>
      <c r="P18" s="66">
        <f t="shared" si="10"/>
        <v>19.313433641534843</v>
      </c>
      <c r="Q18" s="67">
        <f t="shared" si="11"/>
        <v>578.15624338610257</v>
      </c>
      <c r="R18" s="64">
        <f t="shared" si="12"/>
        <v>3.3994133271389259E-4</v>
      </c>
      <c r="S18" s="68">
        <f t="shared" si="13"/>
        <v>8.0400678636972048E-2</v>
      </c>
      <c r="T18" s="107">
        <f t="shared" si="14"/>
        <v>3.3982581187452787E-4</v>
      </c>
      <c r="U18" s="69">
        <f t="shared" si="15"/>
        <v>19.313433641534857</v>
      </c>
      <c r="V18" s="69">
        <f t="shared" si="16"/>
        <v>3.2425691209043233E-3</v>
      </c>
      <c r="W18" s="69">
        <f t="shared" si="17"/>
        <v>7.5786772676012526E-3</v>
      </c>
      <c r="X18" s="69">
        <f t="shared" si="18"/>
        <v>7.5786772676012524E-5</v>
      </c>
      <c r="Y18" s="10">
        <f t="shared" si="2"/>
        <v>905071.69857647363</v>
      </c>
      <c r="Z18" s="11">
        <f t="shared" si="19"/>
        <v>1.3243546815637913E-2</v>
      </c>
      <c r="AA18" s="94">
        <f t="shared" si="20"/>
        <v>231.30475444164603</v>
      </c>
      <c r="AB18" s="8">
        <f t="shared" si="3"/>
        <v>2.3130475444164602E-2</v>
      </c>
      <c r="AC18" s="95">
        <f t="shared" si="4"/>
        <v>2.6175710347047487</v>
      </c>
      <c r="AE18" s="1"/>
    </row>
    <row r="19" spans="2:31" x14ac:dyDescent="0.25">
      <c r="B19" s="9"/>
      <c r="C19" s="8"/>
      <c r="E19" s="28" t="s">
        <v>71</v>
      </c>
      <c r="F19" s="6">
        <v>12</v>
      </c>
      <c r="G19" s="6">
        <v>0</v>
      </c>
      <c r="H19" s="16">
        <f>AC18</f>
        <v>2.6175710347047487</v>
      </c>
      <c r="I19" s="8">
        <f t="shared" si="22"/>
        <v>283.1500000000002</v>
      </c>
      <c r="J19" s="8">
        <f t="shared" si="5"/>
        <v>0.94560905304738885</v>
      </c>
      <c r="K19" s="8">
        <f t="shared" si="6"/>
        <v>18.950399839279047</v>
      </c>
      <c r="L19" s="5"/>
      <c r="M19" s="52"/>
      <c r="N19" s="52"/>
      <c r="O19" s="5"/>
      <c r="P19" s="5"/>
      <c r="Q19" s="62"/>
      <c r="R19" s="62"/>
      <c r="S19" s="62"/>
      <c r="T19" s="62"/>
      <c r="U19" s="70"/>
      <c r="V19" s="62"/>
      <c r="W19" s="70"/>
      <c r="X19" s="70"/>
      <c r="Y19" s="71"/>
      <c r="AE19" s="1"/>
    </row>
    <row r="20" spans="2:31" x14ac:dyDescent="0.25">
      <c r="B20" s="6" t="s">
        <v>72</v>
      </c>
      <c r="C20" s="6">
        <v>12</v>
      </c>
      <c r="D20" s="5" t="s">
        <v>73</v>
      </c>
      <c r="L20" s="5"/>
      <c r="M20" s="52"/>
      <c r="N20" s="52"/>
      <c r="O20" s="5"/>
      <c r="P20" s="5"/>
      <c r="Q20" s="62"/>
      <c r="R20" s="62"/>
      <c r="S20" s="62"/>
      <c r="T20" s="62"/>
      <c r="U20" s="70"/>
      <c r="V20" s="62"/>
      <c r="W20" s="70"/>
      <c r="X20" s="70"/>
      <c r="Y20" s="71"/>
      <c r="AE20" s="1"/>
    </row>
    <row r="21" spans="2:31" x14ac:dyDescent="0.25">
      <c r="B21" s="8" t="s">
        <v>74</v>
      </c>
      <c r="C21" s="8">
        <f>C20*C6</f>
        <v>1320</v>
      </c>
      <c r="D21" s="5" t="s">
        <v>75</v>
      </c>
      <c r="L21" s="5"/>
      <c r="M21" s="52"/>
      <c r="N21" s="52"/>
      <c r="O21" s="5"/>
      <c r="P21" s="5"/>
      <c r="Q21" s="62"/>
      <c r="R21" s="62"/>
      <c r="S21" s="62"/>
      <c r="T21" s="62"/>
      <c r="U21" s="70"/>
      <c r="V21" s="62"/>
      <c r="W21" s="70"/>
      <c r="X21" s="70"/>
      <c r="Y21" s="71"/>
      <c r="AE21" s="1"/>
    </row>
    <row r="22" spans="2:31" x14ac:dyDescent="0.25">
      <c r="B22" s="16" t="s">
        <v>76</v>
      </c>
      <c r="C22" s="50">
        <f>C21/1000/24/3600/(3.14159*C16^2/4)</f>
        <v>1.9452287252986896E-3</v>
      </c>
      <c r="D22" s="5" t="s">
        <v>45</v>
      </c>
      <c r="L22" s="5"/>
      <c r="M22" s="52"/>
      <c r="N22" s="52"/>
      <c r="O22" s="5"/>
      <c r="P22" s="5"/>
      <c r="Q22" s="62"/>
      <c r="R22" s="62"/>
      <c r="S22" s="62"/>
      <c r="T22" s="62"/>
      <c r="U22" s="70"/>
      <c r="V22" s="62"/>
      <c r="W22" s="70"/>
      <c r="X22" s="70"/>
      <c r="Y22" s="71"/>
    </row>
    <row r="23" spans="2:31" x14ac:dyDescent="0.25">
      <c r="B23" s="5"/>
      <c r="C23" s="52"/>
      <c r="L23" s="5"/>
      <c r="M23" s="5"/>
      <c r="N23" s="5"/>
      <c r="O23" s="5"/>
      <c r="P23" s="5"/>
      <c r="Q23" s="62"/>
      <c r="R23" s="62"/>
      <c r="S23" s="62"/>
      <c r="T23" s="62"/>
      <c r="U23" s="62"/>
      <c r="V23" s="62"/>
      <c r="W23" s="62"/>
      <c r="X23" s="62"/>
      <c r="Y23" s="71"/>
    </row>
    <row r="24" spans="2:31" x14ac:dyDescent="0.25">
      <c r="B24" s="6" t="s">
        <v>81</v>
      </c>
      <c r="C24" s="6">
        <v>1000</v>
      </c>
      <c r="D24" s="2"/>
    </row>
    <row r="25" spans="2:31" ht="15.75" x14ac:dyDescent="0.25">
      <c r="B25" s="55" t="s">
        <v>82</v>
      </c>
      <c r="C25" s="56">
        <v>7.1999999999999995E-2</v>
      </c>
      <c r="D25" s="2"/>
    </row>
    <row r="26" spans="2:31" x14ac:dyDescent="0.25">
      <c r="D26" s="2"/>
    </row>
    <row r="27" spans="2:31" x14ac:dyDescent="0.25">
      <c r="D27" s="2"/>
    </row>
    <row r="28" spans="2:31" x14ac:dyDescent="0.25">
      <c r="D28" s="2"/>
    </row>
    <row r="29" spans="2:31" x14ac:dyDescent="0.25">
      <c r="C29" s="37"/>
      <c r="D29" s="2"/>
    </row>
    <row r="30" spans="2:31" x14ac:dyDescent="0.25">
      <c r="B30" s="38"/>
      <c r="D30" s="2"/>
    </row>
    <row r="31" spans="2:31" x14ac:dyDescent="0.25">
      <c r="D31" s="2"/>
    </row>
    <row r="32" spans="2:31" x14ac:dyDescent="0.25">
      <c r="D32" s="2"/>
    </row>
    <row r="33" spans="4:4" x14ac:dyDescent="0.25">
      <c r="D33" s="2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3023-DC23-4002-943C-4E9258FC045D}">
  <dimension ref="A2:AJ33"/>
  <sheetViews>
    <sheetView workbookViewId="0">
      <selection activeCell="L25" sqref="L25"/>
    </sheetView>
  </sheetViews>
  <sheetFormatPr defaultRowHeight="15" x14ac:dyDescent="0.25"/>
  <cols>
    <col min="1" max="1" width="11.42578125" customWidth="1"/>
    <col min="4" max="4" width="18.28515625" style="5" customWidth="1"/>
    <col min="5" max="5" width="12.140625" style="27" customWidth="1"/>
    <col min="6" max="6" width="6" customWidth="1"/>
    <col min="15" max="16" width="9.5703125" customWidth="1"/>
    <col min="17" max="24" width="9.5703125" style="61" customWidth="1"/>
    <col min="25" max="25" width="9.140625" style="2"/>
    <col min="26" max="26" width="9.140625" style="3"/>
    <col min="30" max="30" width="9.140625" style="46"/>
    <col min="33" max="33" width="5.42578125" customWidth="1"/>
    <col min="35" max="35" width="4.7109375" customWidth="1"/>
  </cols>
  <sheetData>
    <row r="2" spans="1:36" x14ac:dyDescent="0.25">
      <c r="G2" s="17" t="s">
        <v>80</v>
      </c>
      <c r="H2" s="16"/>
      <c r="I2" s="16"/>
      <c r="J2" s="16"/>
      <c r="AF2" s="17" t="s">
        <v>50</v>
      </c>
      <c r="AG2" s="17"/>
      <c r="AH2" s="17"/>
      <c r="AI2" s="16"/>
    </row>
    <row r="3" spans="1:36" x14ac:dyDescent="0.25">
      <c r="B3" s="6" t="s">
        <v>7</v>
      </c>
      <c r="C3" s="6">
        <v>3</v>
      </c>
      <c r="D3" s="5" t="s">
        <v>24</v>
      </c>
      <c r="AG3" s="18" t="s">
        <v>51</v>
      </c>
      <c r="AH3" s="18"/>
      <c r="AI3" s="18" t="s">
        <v>52</v>
      </c>
      <c r="AJ3" s="18"/>
    </row>
    <row r="4" spans="1:36" ht="18.75" x14ac:dyDescent="0.35">
      <c r="A4" s="5"/>
      <c r="B4" s="6" t="s">
        <v>0</v>
      </c>
      <c r="C4" s="6">
        <v>5.0000000000000001E-3</v>
      </c>
      <c r="D4" s="5" t="s">
        <v>41</v>
      </c>
      <c r="K4" s="14" t="s">
        <v>47</v>
      </c>
      <c r="L4" s="12">
        <f>C6*1000/24/3600</f>
        <v>1.2731481481481481</v>
      </c>
      <c r="M4" s="15" t="s">
        <v>48</v>
      </c>
      <c r="N4" s="15"/>
      <c r="O4" s="43"/>
      <c r="P4" s="43"/>
      <c r="Q4" s="62"/>
      <c r="R4" s="62"/>
      <c r="S4" s="62"/>
      <c r="T4" s="62"/>
      <c r="U4" s="62"/>
      <c r="V4" s="62"/>
      <c r="W4" s="62"/>
      <c r="X4" s="62"/>
      <c r="AG4" s="19">
        <v>1</v>
      </c>
      <c r="AH4" s="19"/>
      <c r="AI4" s="19">
        <v>2</v>
      </c>
      <c r="AJ4" s="18"/>
    </row>
    <row r="5" spans="1:36" ht="17.25" x14ac:dyDescent="0.25">
      <c r="A5" s="5"/>
      <c r="B5" s="6" t="s">
        <v>1</v>
      </c>
      <c r="C5" s="6">
        <v>5.0000000000000004E-6</v>
      </c>
      <c r="D5" s="5" t="s">
        <v>42</v>
      </c>
      <c r="G5" s="19" t="s">
        <v>46</v>
      </c>
      <c r="H5" s="19" t="s">
        <v>24</v>
      </c>
      <c r="I5" s="19" t="s">
        <v>36</v>
      </c>
      <c r="J5" s="19"/>
      <c r="K5" s="19" t="s">
        <v>44</v>
      </c>
      <c r="L5" s="19" t="s">
        <v>45</v>
      </c>
      <c r="M5" s="19" t="s">
        <v>45</v>
      </c>
      <c r="N5" s="19"/>
      <c r="O5" s="19"/>
      <c r="P5" s="19"/>
      <c r="Q5" s="65"/>
      <c r="R5" s="65"/>
      <c r="S5" s="65"/>
      <c r="T5" s="65"/>
      <c r="U5" s="65"/>
      <c r="V5" s="65"/>
      <c r="W5" s="65"/>
      <c r="X5" s="65"/>
      <c r="Y5" s="30"/>
      <c r="Z5" s="31"/>
      <c r="AA5" s="19" t="s">
        <v>31</v>
      </c>
      <c r="AB5" s="19" t="s">
        <v>24</v>
      </c>
      <c r="AC5" s="44" t="s">
        <v>24</v>
      </c>
      <c r="AD5" s="47"/>
      <c r="AE5" s="5"/>
      <c r="AG5" s="20" t="s">
        <v>19</v>
      </c>
      <c r="AH5" s="20">
        <f>0.03419*C14/1.205*G7/J7/C11</f>
        <v>8.1128605941939644E-2</v>
      </c>
      <c r="AI5" s="21" t="s">
        <v>20</v>
      </c>
      <c r="AJ5" s="21">
        <f>0.03419*C14/1.205*G7/AH10/C11</f>
        <v>8.1573648177017982E-2</v>
      </c>
    </row>
    <row r="6" spans="1:36" ht="18.75" x14ac:dyDescent="0.35">
      <c r="B6" s="6" t="s">
        <v>5</v>
      </c>
      <c r="C6" s="6">
        <v>110</v>
      </c>
      <c r="D6" s="5" t="s">
        <v>43</v>
      </c>
      <c r="E6" s="28" t="s">
        <v>70</v>
      </c>
      <c r="F6" s="6"/>
      <c r="G6" s="33" t="s">
        <v>6</v>
      </c>
      <c r="H6" s="34" t="s">
        <v>8</v>
      </c>
      <c r="I6" s="34" t="s">
        <v>4</v>
      </c>
      <c r="J6" s="34" t="s">
        <v>10</v>
      </c>
      <c r="K6" s="72" t="s">
        <v>88</v>
      </c>
      <c r="L6" s="57" t="s">
        <v>3</v>
      </c>
      <c r="M6" s="34" t="s">
        <v>89</v>
      </c>
      <c r="N6" s="34" t="s">
        <v>90</v>
      </c>
      <c r="O6" s="73" t="s">
        <v>1</v>
      </c>
      <c r="P6" s="73" t="s">
        <v>91</v>
      </c>
      <c r="Q6" s="63" t="s">
        <v>92</v>
      </c>
      <c r="R6" s="63" t="s">
        <v>83</v>
      </c>
      <c r="S6" s="63" t="s">
        <v>84</v>
      </c>
      <c r="T6" s="73" t="s">
        <v>77</v>
      </c>
      <c r="U6" s="73" t="s">
        <v>93</v>
      </c>
      <c r="V6" s="73" t="s">
        <v>85</v>
      </c>
      <c r="W6" s="73" t="s">
        <v>26</v>
      </c>
      <c r="X6" s="73" t="s">
        <v>28</v>
      </c>
      <c r="Y6" s="35" t="s">
        <v>23</v>
      </c>
      <c r="Z6" s="36" t="s">
        <v>87</v>
      </c>
      <c r="AA6" s="34" t="s">
        <v>30</v>
      </c>
      <c r="AB6" s="34" t="s">
        <v>18</v>
      </c>
      <c r="AC6" s="45" t="s">
        <v>8</v>
      </c>
      <c r="AD6" s="47"/>
      <c r="AE6" s="42"/>
      <c r="AG6" s="20" t="s">
        <v>32</v>
      </c>
      <c r="AH6" s="20">
        <f>EXP(-2*AH5)</f>
        <v>0.8502224890851976</v>
      </c>
      <c r="AI6" s="21"/>
      <c r="AJ6" s="21">
        <f t="shared" ref="AJ6" si="0">EXP(-2*AJ5)</f>
        <v>0.84946605594612012</v>
      </c>
    </row>
    <row r="7" spans="1:36" x14ac:dyDescent="0.25">
      <c r="B7" s="12" t="s">
        <v>9</v>
      </c>
      <c r="C7" s="12">
        <f>(C3^2-C4*C6-C5*C6^2)^0.5</f>
        <v>2.8964633607211399</v>
      </c>
      <c r="D7" s="5" t="s">
        <v>24</v>
      </c>
      <c r="F7" s="6">
        <v>0</v>
      </c>
      <c r="G7" s="6">
        <v>1200</v>
      </c>
      <c r="H7" s="6">
        <f>C7</f>
        <v>2.8964633607211399</v>
      </c>
      <c r="I7" s="6">
        <f>C9</f>
        <v>305.14999999999998</v>
      </c>
      <c r="J7" s="8">
        <f>1/(1+(98-0.27*I7)*H7/10000*1000000/98066.5)</f>
        <v>0.95592811844703995</v>
      </c>
      <c r="K7" s="8">
        <f>C$14*H7/I7/J7*293.15*1000000/101325</f>
        <v>19.247641330305306</v>
      </c>
      <c r="L7" s="58">
        <f>L$4*C$14/K7/(3.14159*C$16^2/4)</f>
        <v>5.6426967837442605</v>
      </c>
      <c r="M7" s="59">
        <f>L7+C$22</f>
        <v>5.6446420124695589</v>
      </c>
      <c r="N7" s="59">
        <f>9.80665*(C$24-K7)*C$16^2/C$25</f>
        <v>1335.8187664094671</v>
      </c>
      <c r="O7" s="60">
        <f t="shared" ref="O7:O18" si="1">C$22/(C$22+L7)</f>
        <v>3.4461507408290761E-4</v>
      </c>
      <c r="P7" s="66">
        <f>C$24*O7+K7*(1-O7)</f>
        <v>19.585623377045248</v>
      </c>
      <c r="Q7" s="67">
        <f>P7^2*M7^4/9.80665/C$25/(C$24-K7)</f>
        <v>562.35152864208976</v>
      </c>
      <c r="R7" s="64">
        <f>C$22/L7</f>
        <v>3.4473387457263231E-4</v>
      </c>
      <c r="S7" s="68">
        <f>0.0814*(1-0.0554*LN(1+730*R7/(1+R7)))</f>
        <v>8.0388063901817811E-2</v>
      </c>
      <c r="T7" s="69">
        <f>1-(1-EXP(-2.314*(Q7*(1+205/N7))^S7))/(1+R7)</f>
        <v>2.0697748257524351E-2</v>
      </c>
      <c r="U7" s="69">
        <f>T7*C$24+(1-T7)*K7</f>
        <v>39.547006753023879</v>
      </c>
      <c r="V7" s="69">
        <f>28.5*C$25/P7/M7^2</f>
        <v>3.2882675734826907E-3</v>
      </c>
      <c r="W7" s="69">
        <f>C$18+R7*(V7-C$18)/0.007</f>
        <v>7.5778075713673863E-3</v>
      </c>
      <c r="X7" s="69">
        <f>W7/C$16/1000</f>
        <v>7.5778075713673861E-5</v>
      </c>
      <c r="Y7" s="10">
        <f t="shared" ref="Y7:Y18" si="2">L7*K7*C$16/C$17</f>
        <v>905071.69857647375</v>
      </c>
      <c r="Z7" s="11">
        <f>(-2*LOG10(X7/3.7-5.02/Y7*LOG10(X7/3.7+13/Y7)))^(-2)</f>
        <v>1.3243418672906364E-2</v>
      </c>
      <c r="AA7" s="94">
        <f>Z7/2*P7*M7^2/C$16+U7*9.80665</f>
        <v>429.14555734460532</v>
      </c>
      <c r="AB7" s="8">
        <f t="shared" ref="AB7:AB18" si="3">(AA7*(G7-G8))/1000000</f>
        <v>4.2914555734460534E-2</v>
      </c>
      <c r="AC7" s="58">
        <f t="shared" ref="AC7:AC18" si="4">H7-AB7</f>
        <v>2.8535488049866795</v>
      </c>
      <c r="AD7" s="46">
        <f>P7^2*M7^2*(1/P8-1/P7)/100</f>
        <v>5.1221012492756596E-2</v>
      </c>
      <c r="AE7" s="41"/>
      <c r="AG7" s="20" t="s">
        <v>33</v>
      </c>
      <c r="AH7" s="20">
        <f>((H7*10.197)^2*AH6+1.377*Z7*J7^2*C11^2/(C16*100)^5*(AH6-1)*C6^2)^0.5</f>
        <v>26.74965194229965</v>
      </c>
      <c r="AI7" s="21"/>
      <c r="AJ7" s="21">
        <f>((H7*10.197)^2*AJ6+1.377*Z7*AH10^2*C11^2/(C16*100)^5*(AJ6-1)*C6^2)^0.5</f>
        <v>26.740191325100369</v>
      </c>
    </row>
    <row r="8" spans="1:36" x14ac:dyDescent="0.25">
      <c r="F8" s="6">
        <v>1</v>
      </c>
      <c r="G8" s="6">
        <v>1100</v>
      </c>
      <c r="H8" s="8">
        <f>AC7</f>
        <v>2.8535488049866795</v>
      </c>
      <c r="I8" s="8">
        <f>I7-C$12</f>
        <v>303.31666666666666</v>
      </c>
      <c r="J8" s="8">
        <f t="shared" ref="J8:J19" si="5">1/(1+(98-0.27*I8)*H8/10000*1000000/98066.5)</f>
        <v>0.95523662331577808</v>
      </c>
      <c r="K8" s="8">
        <f t="shared" ref="K8:K19" si="6">C$14*H8/I8/J8*293.15*1000000/101325</f>
        <v>19.090889075452168</v>
      </c>
      <c r="L8" s="58">
        <f t="shared" ref="L8:L18" si="7">L$4*C$14/K8/(3.14159*C$16^2/4)</f>
        <v>5.6890280698781153</v>
      </c>
      <c r="M8" s="59">
        <f t="shared" ref="M8:M18" si="8">L8+C$22</f>
        <v>5.6909732986034136</v>
      </c>
      <c r="N8" s="59">
        <f t="shared" ref="N8:N18" si="9">9.80665*(C$24-K8)*C$16^2/C$25</f>
        <v>1336.0322684233636</v>
      </c>
      <c r="O8" s="60">
        <f t="shared" si="1"/>
        <v>3.4180949781930205E-4</v>
      </c>
      <c r="P8" s="66">
        <f t="shared" ref="P8:P18" si="10">C$24*O8+K8*(1-O8)</f>
        <v>19.426173126063667</v>
      </c>
      <c r="Q8" s="67">
        <f t="shared" ref="Q8:Q18" si="11">P8^2*M8^4/9.80665/C$25/(C$24-K8)</f>
        <v>571.52964385561654</v>
      </c>
      <c r="R8" s="64">
        <f t="shared" ref="R8:R18" si="12">C$22/L8</f>
        <v>3.419263715006358E-4</v>
      </c>
      <c r="S8" s="68">
        <f t="shared" ref="S8:S18" si="13">0.0814*(1-0.0554*LN(1+730*R8/(1+R8)))</f>
        <v>8.0395449401641325E-2</v>
      </c>
      <c r="T8" s="69">
        <f t="shared" ref="T8:T18" si="14">1-(1-EXP(-2.314*(Q8*(1+205/N8))^S8))/(1+R8)</f>
        <v>2.0588394768876195E-2</v>
      </c>
      <c r="U8" s="69">
        <f t="shared" ref="U8:U18" si="15">T8*C$24+(1-T8)*K8</f>
        <v>39.28623308355413</v>
      </c>
      <c r="V8" s="69">
        <f t="shared" ref="V8:V18" si="16">28.5*C$25/P8/M8^2</f>
        <v>3.2614971674663619E-3</v>
      </c>
      <c r="W8" s="69">
        <f t="shared" ref="W8:W18" si="17">C$18+R8*(V8-C$18)/0.007</f>
        <v>7.5783094563466307E-3</v>
      </c>
      <c r="X8" s="69">
        <f t="shared" ref="X8:X18" si="18">W8/C$16/1000</f>
        <v>7.57830945634663E-5</v>
      </c>
      <c r="Y8" s="10">
        <f t="shared" si="2"/>
        <v>905071.69857647375</v>
      </c>
      <c r="Z8" s="11">
        <f t="shared" ref="Z8:Z18" si="19">(-2*LOG10(X8/3.7-5.02/Y8*LOG10(X8/3.7+13/Y8)))^(-2)</f>
        <v>1.3243492622065126E-2</v>
      </c>
      <c r="AA8" s="94">
        <f t="shared" ref="AA8:AA18" si="20">Z8/2*P8*M8^2/C$16+U8*9.80665</f>
        <v>426.92764452440599</v>
      </c>
      <c r="AB8" s="8">
        <f t="shared" si="3"/>
        <v>4.26927644524406E-2</v>
      </c>
      <c r="AC8" s="58">
        <f t="shared" si="4"/>
        <v>2.8108560405342389</v>
      </c>
      <c r="AE8" s="41"/>
      <c r="AG8" s="4"/>
      <c r="AH8" s="4"/>
      <c r="AJ8" s="17">
        <f>AJ7/10.197</f>
        <v>2.622358666774578</v>
      </c>
    </row>
    <row r="9" spans="1:36" x14ac:dyDescent="0.25">
      <c r="A9">
        <v>32</v>
      </c>
      <c r="B9" s="6" t="s">
        <v>11</v>
      </c>
      <c r="C9" s="6">
        <f>A9+273.15</f>
        <v>305.14999999999998</v>
      </c>
      <c r="D9" s="5" t="s">
        <v>36</v>
      </c>
      <c r="F9" s="6">
        <v>2</v>
      </c>
      <c r="G9" s="6">
        <v>1000</v>
      </c>
      <c r="H9" s="8">
        <f t="shared" ref="H9:H18" si="21">AC8</f>
        <v>2.8108560405342389</v>
      </c>
      <c r="I9" s="8">
        <f t="shared" ref="I9:I19" si="22">I8-C$12</f>
        <v>301.48333333333335</v>
      </c>
      <c r="J9" s="8">
        <f t="shared" si="5"/>
        <v>0.95458218273069739</v>
      </c>
      <c r="K9" s="8">
        <f t="shared" si="6"/>
        <v>18.932591306664929</v>
      </c>
      <c r="L9" s="58">
        <f t="shared" si="7"/>
        <v>5.7365947465914422</v>
      </c>
      <c r="M9" s="59">
        <f t="shared" si="8"/>
        <v>5.7385399753167405</v>
      </c>
      <c r="N9" s="59">
        <f t="shared" si="9"/>
        <v>1336.2478754809024</v>
      </c>
      <c r="O9" s="60">
        <f t="shared" si="1"/>
        <v>3.3897624372501164E-4</v>
      </c>
      <c r="P9" s="66">
        <f t="shared" si="10"/>
        <v>19.265149851704823</v>
      </c>
      <c r="Q9" s="67">
        <f t="shared" si="11"/>
        <v>581.029800689946</v>
      </c>
      <c r="R9" s="64">
        <f t="shared" si="12"/>
        <v>3.3909118758205842E-4</v>
      </c>
      <c r="S9" s="68">
        <f t="shared" si="13"/>
        <v>8.0402920056980978E-2</v>
      </c>
      <c r="T9" s="69">
        <f t="shared" si="14"/>
        <v>2.0477493549536874E-2</v>
      </c>
      <c r="U9" s="69">
        <f t="shared" si="15"/>
        <v>39.022392839843555</v>
      </c>
      <c r="V9" s="69">
        <f t="shared" si="16"/>
        <v>3.2344626635623019E-3</v>
      </c>
      <c r="W9" s="69">
        <f t="shared" si="17"/>
        <v>7.5788380746624447E-3</v>
      </c>
      <c r="X9" s="69">
        <f t="shared" si="18"/>
        <v>7.5788380746624442E-5</v>
      </c>
      <c r="Y9" s="10">
        <f t="shared" si="2"/>
        <v>905071.69857647375</v>
      </c>
      <c r="Z9" s="11">
        <f t="shared" si="19"/>
        <v>1.3243570508857157E-2</v>
      </c>
      <c r="AA9" s="94">
        <f t="shared" si="20"/>
        <v>424.6887190059665</v>
      </c>
      <c r="AB9" s="8">
        <f t="shared" si="3"/>
        <v>4.2468871900596651E-2</v>
      </c>
      <c r="AC9" s="58">
        <f t="shared" si="4"/>
        <v>2.7683871686336423</v>
      </c>
      <c r="AE9" s="1"/>
      <c r="AG9" s="20" t="s">
        <v>21</v>
      </c>
      <c r="AH9" s="20">
        <f>1/(1+(98-0.27*C10)*AH7/10000)</f>
        <v>0.94549758368697367</v>
      </c>
    </row>
    <row r="10" spans="1:36" x14ac:dyDescent="0.25">
      <c r="A10">
        <v>10</v>
      </c>
      <c r="B10" s="6" t="s">
        <v>12</v>
      </c>
      <c r="C10" s="6">
        <f>A10+273.15</f>
        <v>283.14999999999998</v>
      </c>
      <c r="D10" s="5" t="s">
        <v>36</v>
      </c>
      <c r="F10" s="6">
        <v>3</v>
      </c>
      <c r="G10" s="6">
        <v>900</v>
      </c>
      <c r="H10" s="8">
        <f t="shared" si="21"/>
        <v>2.7683871686336423</v>
      </c>
      <c r="I10" s="8">
        <f t="shared" si="22"/>
        <v>299.65000000000003</v>
      </c>
      <c r="J10" s="8">
        <f t="shared" si="5"/>
        <v>0.95396430749514483</v>
      </c>
      <c r="K10" s="8">
        <f t="shared" si="6"/>
        <v>18.772776449268502</v>
      </c>
      <c r="L10" s="58">
        <f t="shared" si="7"/>
        <v>5.7854310534555413</v>
      </c>
      <c r="M10" s="59">
        <f t="shared" si="8"/>
        <v>5.7873762821808397</v>
      </c>
      <c r="N10" s="59">
        <f t="shared" si="9"/>
        <v>1336.4655488658032</v>
      </c>
      <c r="O10" s="60">
        <f t="shared" si="1"/>
        <v>3.3611582009761336E-4</v>
      </c>
      <c r="P10" s="66">
        <f t="shared" si="10"/>
        <v>19.102582442214359</v>
      </c>
      <c r="Q10" s="67">
        <f t="shared" si="11"/>
        <v>590.86502679761941</v>
      </c>
      <c r="R10" s="64">
        <f t="shared" si="12"/>
        <v>3.3622883192719705E-4</v>
      </c>
      <c r="S10" s="68">
        <f t="shared" si="13"/>
        <v>8.0410474927926093E-2</v>
      </c>
      <c r="T10" s="69">
        <f t="shared" si="14"/>
        <v>2.0365045686121075E-2</v>
      </c>
      <c r="U10" s="69">
        <f t="shared" si="15"/>
        <v>38.755513685344887</v>
      </c>
      <c r="V10" s="69">
        <f t="shared" si="16"/>
        <v>3.2071689118730348E-3</v>
      </c>
      <c r="W10" s="69">
        <f t="shared" si="17"/>
        <v>7.579393966857164E-3</v>
      </c>
      <c r="X10" s="69">
        <f t="shared" si="18"/>
        <v>7.5793939668571629E-5</v>
      </c>
      <c r="Y10" s="10">
        <f t="shared" si="2"/>
        <v>905071.69857647375</v>
      </c>
      <c r="Z10" s="11">
        <f t="shared" si="19"/>
        <v>1.3243652412716612E-2</v>
      </c>
      <c r="AA10" s="94">
        <f t="shared" si="20"/>
        <v>422.42930345640087</v>
      </c>
      <c r="AB10" s="8">
        <f t="shared" si="3"/>
        <v>4.2242930345640091E-2</v>
      </c>
      <c r="AC10" s="58">
        <f t="shared" si="4"/>
        <v>2.7261442382880023</v>
      </c>
      <c r="AE10" s="1"/>
      <c r="AG10" s="20" t="s">
        <v>22</v>
      </c>
      <c r="AH10" s="20">
        <f>(AH9+J7)/2</f>
        <v>0.95071285106700687</v>
      </c>
    </row>
    <row r="11" spans="1:36" x14ac:dyDescent="0.25">
      <c r="B11" s="8" t="s">
        <v>13</v>
      </c>
      <c r="C11" s="8">
        <f>(C9+C10)/2</f>
        <v>294.14999999999998</v>
      </c>
      <c r="D11" s="5" t="s">
        <v>36</v>
      </c>
      <c r="F11" s="6">
        <v>4</v>
      </c>
      <c r="G11" s="6">
        <v>800</v>
      </c>
      <c r="H11" s="8">
        <f t="shared" si="21"/>
        <v>2.7261442382880023</v>
      </c>
      <c r="I11" s="8">
        <f t="shared" si="22"/>
        <v>297.81666666666672</v>
      </c>
      <c r="J11" s="8">
        <f t="shared" si="5"/>
        <v>0.95338251581320921</v>
      </c>
      <c r="K11" s="8">
        <f t="shared" si="6"/>
        <v>18.611472612893497</v>
      </c>
      <c r="L11" s="58">
        <f t="shared" si="7"/>
        <v>5.8355728258674118</v>
      </c>
      <c r="M11" s="59">
        <f t="shared" si="8"/>
        <v>5.8375180545927101</v>
      </c>
      <c r="N11" s="59">
        <f t="shared" si="9"/>
        <v>1336.6852502917736</v>
      </c>
      <c r="O11" s="60">
        <f t="shared" si="1"/>
        <v>3.3322872959138289E-4</v>
      </c>
      <c r="P11" s="66">
        <f t="shared" si="10"/>
        <v>18.938499465110262</v>
      </c>
      <c r="Q11" s="67">
        <f t="shared" si="11"/>
        <v>601.04907134105395</v>
      </c>
      <c r="R11" s="64">
        <f t="shared" si="12"/>
        <v>3.3333980799212231E-4</v>
      </c>
      <c r="S11" s="68">
        <f t="shared" si="13"/>
        <v>8.0418113086586349E-2</v>
      </c>
      <c r="T11" s="69">
        <f t="shared" si="14"/>
        <v>2.0251051863503067E-2</v>
      </c>
      <c r="U11" s="69">
        <f t="shared" si="15"/>
        <v>38.485622579256685</v>
      </c>
      <c r="V11" s="69">
        <f t="shared" si="16"/>
        <v>3.1796207086535093E-3</v>
      </c>
      <c r="W11" s="69">
        <f t="shared" si="17"/>
        <v>7.5799776648816826E-3</v>
      </c>
      <c r="X11" s="69">
        <f t="shared" si="18"/>
        <v>7.5799776648816816E-5</v>
      </c>
      <c r="Y11" s="10">
        <f t="shared" si="2"/>
        <v>905071.69857647375</v>
      </c>
      <c r="Z11" s="11">
        <f t="shared" si="19"/>
        <v>1.3243738411795204E-2</v>
      </c>
      <c r="AA11" s="94">
        <f t="shared" si="20"/>
        <v>420.14992534635303</v>
      </c>
      <c r="AB11" s="8">
        <f t="shared" si="3"/>
        <v>4.2014992534635302E-2</v>
      </c>
      <c r="AC11" s="58">
        <f t="shared" si="4"/>
        <v>2.684129245753367</v>
      </c>
      <c r="AE11" s="1"/>
    </row>
    <row r="12" spans="1:36" x14ac:dyDescent="0.25">
      <c r="B12" s="8" t="s">
        <v>14</v>
      </c>
      <c r="C12" s="8">
        <f>(C9-C10)/F19</f>
        <v>1.8333333333333333</v>
      </c>
      <c r="D12" s="5" t="s">
        <v>36</v>
      </c>
      <c r="F12" s="6">
        <v>5</v>
      </c>
      <c r="G12" s="6">
        <v>700</v>
      </c>
      <c r="H12" s="8">
        <f t="shared" si="21"/>
        <v>2.684129245753367</v>
      </c>
      <c r="I12" s="8">
        <f t="shared" si="22"/>
        <v>295.98333333333341</v>
      </c>
      <c r="J12" s="8">
        <f t="shared" si="5"/>
        <v>0.95283633309418281</v>
      </c>
      <c r="K12" s="8">
        <f t="shared" si="6"/>
        <v>18.448707570465814</v>
      </c>
      <c r="L12" s="58">
        <f t="shared" si="7"/>
        <v>5.8870575846216084</v>
      </c>
      <c r="M12" s="59">
        <f t="shared" si="8"/>
        <v>5.8890028133469068</v>
      </c>
      <c r="N12" s="59">
        <f t="shared" si="9"/>
        <v>1336.906941931124</v>
      </c>
      <c r="O12" s="60">
        <f t="shared" si="1"/>
        <v>3.3031546884134609E-4</v>
      </c>
      <c r="P12" s="66">
        <f t="shared" si="10"/>
        <v>18.772929145816505</v>
      </c>
      <c r="Q12" s="67">
        <f t="shared" si="11"/>
        <v>611.59645289621903</v>
      </c>
      <c r="R12" s="64">
        <f t="shared" si="12"/>
        <v>3.3042461320237273E-4</v>
      </c>
      <c r="S12" s="68">
        <f t="shared" si="13"/>
        <v>8.0425833618007647E-2</v>
      </c>
      <c r="T12" s="69">
        <f t="shared" si="14"/>
        <v>2.0135512343716244E-2</v>
      </c>
      <c r="U12" s="69">
        <f t="shared" si="15"/>
        <v>38.212745735171332</v>
      </c>
      <c r="V12" s="69">
        <f t="shared" si="16"/>
        <v>3.1518227927238617E-3</v>
      </c>
      <c r="W12" s="69">
        <f t="shared" si="17"/>
        <v>7.5805896920270992E-3</v>
      </c>
      <c r="X12" s="69">
        <f t="shared" si="18"/>
        <v>7.5805896920270988E-5</v>
      </c>
      <c r="Y12" s="10">
        <f t="shared" si="2"/>
        <v>905071.69857647375</v>
      </c>
      <c r="Z12" s="11">
        <f t="shared" si="19"/>
        <v>1.3243828582951528E-2</v>
      </c>
      <c r="AA12" s="94">
        <f t="shared" si="20"/>
        <v>417.85111720172125</v>
      </c>
      <c r="AB12" s="8">
        <f t="shared" si="3"/>
        <v>4.178511172017213E-2</v>
      </c>
      <c r="AC12" s="58">
        <f t="shared" si="4"/>
        <v>2.6423441340331948</v>
      </c>
      <c r="AE12" s="1"/>
    </row>
    <row r="13" spans="1:36" x14ac:dyDescent="0.25">
      <c r="F13" s="6">
        <v>6</v>
      </c>
      <c r="G13" s="6">
        <v>600</v>
      </c>
      <c r="H13" s="8">
        <f t="shared" si="21"/>
        <v>2.6423441340331948</v>
      </c>
      <c r="I13" s="8">
        <f t="shared" si="22"/>
        <v>294.15000000000009</v>
      </c>
      <c r="J13" s="8">
        <f t="shared" si="5"/>
        <v>0.95232529176483072</v>
      </c>
      <c r="K13" s="8">
        <f t="shared" si="6"/>
        <v>18.284508736799602</v>
      </c>
      <c r="L13" s="58">
        <f t="shared" si="7"/>
        <v>5.9399246319694656</v>
      </c>
      <c r="M13" s="59">
        <f t="shared" si="8"/>
        <v>5.941869860694764</v>
      </c>
      <c r="N13" s="59">
        <f t="shared" si="9"/>
        <v>1337.1305864439259</v>
      </c>
      <c r="O13" s="60">
        <f t="shared" si="1"/>
        <v>3.2737652808020943E-4</v>
      </c>
      <c r="P13" s="66">
        <f t="shared" si="10"/>
        <v>18.605899345891903</v>
      </c>
      <c r="Q13" s="67">
        <f t="shared" si="11"/>
        <v>622.5225112337364</v>
      </c>
      <c r="R13" s="64">
        <f t="shared" si="12"/>
        <v>3.2748373856954504E-4</v>
      </c>
      <c r="S13" s="68">
        <f t="shared" si="13"/>
        <v>8.0433635621122837E-2</v>
      </c>
      <c r="T13" s="69">
        <f t="shared" si="14"/>
        <v>2.0018426943675949E-2</v>
      </c>
      <c r="U13" s="69">
        <f t="shared" si="15"/>
        <v>37.936908578126918</v>
      </c>
      <c r="V13" s="69">
        <f t="shared" si="16"/>
        <v>3.1237798418142131E-3</v>
      </c>
      <c r="W13" s="69">
        <f t="shared" si="17"/>
        <v>7.5812305628890067E-3</v>
      </c>
      <c r="X13" s="69">
        <f t="shared" si="18"/>
        <v>7.581230562889006E-5</v>
      </c>
      <c r="Y13" s="10">
        <f t="shared" si="2"/>
        <v>905071.69857647375</v>
      </c>
      <c r="Z13" s="11">
        <f t="shared" si="19"/>
        <v>1.3243923001745234E-2</v>
      </c>
      <c r="AA13" s="94">
        <f t="shared" si="20"/>
        <v>415.53341688733673</v>
      </c>
      <c r="AB13" s="8">
        <f t="shared" si="3"/>
        <v>4.1553341688733675E-2</v>
      </c>
      <c r="AC13" s="58">
        <f t="shared" si="4"/>
        <v>2.6007907923444611</v>
      </c>
      <c r="AE13" s="1"/>
    </row>
    <row r="14" spans="1:36" x14ac:dyDescent="0.25">
      <c r="A14" t="s">
        <v>38</v>
      </c>
      <c r="B14" s="6" t="s">
        <v>15</v>
      </c>
      <c r="C14" s="6">
        <v>0.67</v>
      </c>
      <c r="D14" s="5" t="s">
        <v>37</v>
      </c>
      <c r="F14" s="6">
        <v>7</v>
      </c>
      <c r="G14" s="6">
        <v>500</v>
      </c>
      <c r="H14" s="8">
        <f t="shared" si="21"/>
        <v>2.6007907923444611</v>
      </c>
      <c r="I14" s="8">
        <f t="shared" si="22"/>
        <v>292.31666666666678</v>
      </c>
      <c r="J14" s="8">
        <f t="shared" si="5"/>
        <v>0.95184893108947877</v>
      </c>
      <c r="K14" s="8">
        <f t="shared" si="6"/>
        <v>18.118903146749318</v>
      </c>
      <c r="L14" s="58">
        <f t="shared" si="7"/>
        <v>5.9942151547215561</v>
      </c>
      <c r="M14" s="59">
        <f t="shared" si="8"/>
        <v>5.9961603834468544</v>
      </c>
      <c r="N14" s="59">
        <f t="shared" si="9"/>
        <v>1337.3561470077684</v>
      </c>
      <c r="O14" s="60">
        <f t="shared" si="1"/>
        <v>3.2441239074737477E-4</v>
      </c>
      <c r="P14" s="66">
        <f t="shared" si="10"/>
        <v>18.437437540809139</v>
      </c>
      <c r="Q14" s="67">
        <f t="shared" si="11"/>
        <v>633.8434633442356</v>
      </c>
      <c r="R14" s="64">
        <f t="shared" si="12"/>
        <v>3.2451766829998775E-4</v>
      </c>
      <c r="S14" s="68">
        <f t="shared" si="13"/>
        <v>8.0441518209739465E-2</v>
      </c>
      <c r="T14" s="69">
        <f t="shared" si="14"/>
        <v>1.9899795011638743E-2</v>
      </c>
      <c r="U14" s="69">
        <f t="shared" si="15"/>
        <v>37.658135699932018</v>
      </c>
      <c r="V14" s="69">
        <f t="shared" si="16"/>
        <v>3.095496468833944E-3</v>
      </c>
      <c r="W14" s="69">
        <f t="shared" si="17"/>
        <v>7.5819007833652753E-3</v>
      </c>
      <c r="X14" s="69">
        <f t="shared" si="18"/>
        <v>7.5819007833652753E-5</v>
      </c>
      <c r="Y14" s="10">
        <f t="shared" si="2"/>
        <v>905071.69857647375</v>
      </c>
      <c r="Z14" s="11">
        <f t="shared" si="19"/>
        <v>1.3244021742436057E-2</v>
      </c>
      <c r="AA14" s="94">
        <f t="shared" si="20"/>
        <v>413.19736792539106</v>
      </c>
      <c r="AB14" s="8">
        <f t="shared" si="3"/>
        <v>4.1319736792539107E-2</v>
      </c>
      <c r="AC14" s="58">
        <f t="shared" si="4"/>
        <v>2.559471055551922</v>
      </c>
      <c r="AE14" s="1"/>
    </row>
    <row r="15" spans="1:36" x14ac:dyDescent="0.25">
      <c r="B15" s="5"/>
      <c r="C15" s="5"/>
      <c r="F15" s="6">
        <v>8</v>
      </c>
      <c r="G15" s="6">
        <v>400</v>
      </c>
      <c r="H15" s="8">
        <f t="shared" si="21"/>
        <v>2.559471055551922</v>
      </c>
      <c r="I15" s="8">
        <f t="shared" si="22"/>
        <v>290.48333333333346</v>
      </c>
      <c r="J15" s="8">
        <f t="shared" si="5"/>
        <v>0.95140679699796005</v>
      </c>
      <c r="K15" s="8">
        <f t="shared" si="6"/>
        <v>17.95191743287215</v>
      </c>
      <c r="L15" s="58">
        <f t="shared" si="7"/>
        <v>6.0499723350053545</v>
      </c>
      <c r="M15" s="59">
        <f t="shared" si="8"/>
        <v>6.0519175637306528</v>
      </c>
      <c r="N15" s="59">
        <f t="shared" si="9"/>
        <v>1337.5835873481842</v>
      </c>
      <c r="O15" s="60">
        <f t="shared" si="1"/>
        <v>3.2142353308916687E-4</v>
      </c>
      <c r="P15" s="66">
        <f t="shared" si="10"/>
        <v>18.267570797234317</v>
      </c>
      <c r="Q15" s="67">
        <f t="shared" si="11"/>
        <v>645.57646411495409</v>
      </c>
      <c r="R15" s="64">
        <f t="shared" si="12"/>
        <v>3.2152687939472505E-4</v>
      </c>
      <c r="S15" s="68">
        <f t="shared" si="13"/>
        <v>8.0449480513567845E-2</v>
      </c>
      <c r="T15" s="69">
        <f t="shared" si="14"/>
        <v>1.9779615402304773E-2</v>
      </c>
      <c r="U15" s="69">
        <f t="shared" si="15"/>
        <v>37.376450812620782</v>
      </c>
      <c r="V15" s="69">
        <f t="shared" si="16"/>
        <v>3.0669772180571316E-3</v>
      </c>
      <c r="W15" s="69">
        <f t="shared" si="17"/>
        <v>7.5826008506882526E-3</v>
      </c>
      <c r="X15" s="69">
        <f t="shared" si="18"/>
        <v>7.5826008506882524E-5</v>
      </c>
      <c r="Y15" s="10">
        <f t="shared" si="2"/>
        <v>905071.69857647375</v>
      </c>
      <c r="Z15" s="11">
        <f t="shared" si="19"/>
        <v>1.3244124877988057E-2</v>
      </c>
      <c r="AA15" s="94">
        <f t="shared" si="20"/>
        <v>410.84351985170434</v>
      </c>
      <c r="AB15" s="8">
        <f t="shared" si="3"/>
        <v>4.1084351985170436E-2</v>
      </c>
      <c r="AC15" s="58">
        <f t="shared" si="4"/>
        <v>2.5183867035667515</v>
      </c>
      <c r="AE15" s="1"/>
    </row>
    <row r="16" spans="1:36" x14ac:dyDescent="0.25">
      <c r="B16" s="6" t="s">
        <v>17</v>
      </c>
      <c r="C16" s="6">
        <v>0.1</v>
      </c>
      <c r="D16" s="5" t="s">
        <v>39</v>
      </c>
      <c r="F16" s="6">
        <v>9</v>
      </c>
      <c r="G16" s="6">
        <v>300</v>
      </c>
      <c r="H16" s="8">
        <f t="shared" si="21"/>
        <v>2.5183867035667515</v>
      </c>
      <c r="I16" s="8">
        <f t="shared" si="22"/>
        <v>288.65000000000015</v>
      </c>
      <c r="J16" s="8">
        <f t="shared" si="5"/>
        <v>0.95099844192148131</v>
      </c>
      <c r="K16" s="8">
        <f t="shared" si="6"/>
        <v>17.783577802547345</v>
      </c>
      <c r="L16" s="58">
        <f t="shared" si="7"/>
        <v>6.1072414693526742</v>
      </c>
      <c r="M16" s="59">
        <f t="shared" si="8"/>
        <v>6.1091866980779725</v>
      </c>
      <c r="N16" s="59">
        <f t="shared" si="9"/>
        <v>1337.8128717698125</v>
      </c>
      <c r="O16" s="60">
        <f t="shared" si="1"/>
        <v>3.1841042374931562E-4</v>
      </c>
      <c r="P16" s="66">
        <f t="shared" si="10"/>
        <v>18.096325749752772</v>
      </c>
      <c r="Q16" s="67">
        <f t="shared" si="11"/>
        <v>657.73967210974513</v>
      </c>
      <c r="R16" s="64">
        <f t="shared" si="12"/>
        <v>3.1851184123965389E-4</v>
      </c>
      <c r="S16" s="68">
        <f t="shared" si="13"/>
        <v>8.0457521679292543E-2</v>
      </c>
      <c r="T16" s="69">
        <f t="shared" si="14"/>
        <v>1.9657886450449857E-2</v>
      </c>
      <c r="U16" s="69">
        <f t="shared" si="15"/>
        <v>37.091876699871989</v>
      </c>
      <c r="V16" s="69">
        <f t="shared" si="16"/>
        <v>3.0382265612149783E-3</v>
      </c>
      <c r="W16" s="69">
        <f t="shared" si="17"/>
        <v>7.5833312534923578E-3</v>
      </c>
      <c r="X16" s="69">
        <f t="shared" si="18"/>
        <v>7.5833312534923577E-5</v>
      </c>
      <c r="Y16" s="10">
        <f t="shared" si="2"/>
        <v>905071.69857647375</v>
      </c>
      <c r="Z16" s="11">
        <f t="shared" si="19"/>
        <v>1.3244232480078935E-2</v>
      </c>
      <c r="AA16" s="94">
        <f t="shared" si="20"/>
        <v>408.47242861315408</v>
      </c>
      <c r="AB16" s="8">
        <f t="shared" si="3"/>
        <v>4.0847242861315407E-2</v>
      </c>
      <c r="AC16" s="58">
        <f t="shared" si="4"/>
        <v>2.4775394607054362</v>
      </c>
      <c r="AE16" s="1"/>
    </row>
    <row r="17" spans="2:31" x14ac:dyDescent="0.25">
      <c r="B17" s="6" t="s">
        <v>25</v>
      </c>
      <c r="C17" s="6">
        <v>1.2E-5</v>
      </c>
      <c r="D17" s="5" t="s">
        <v>40</v>
      </c>
      <c r="F17" s="6">
        <v>10</v>
      </c>
      <c r="G17" s="6">
        <v>200</v>
      </c>
      <c r="H17" s="8">
        <f t="shared" si="21"/>
        <v>2.4775394607054362</v>
      </c>
      <c r="I17" s="8">
        <f t="shared" si="22"/>
        <v>286.81666666666683</v>
      </c>
      <c r="J17" s="8">
        <f t="shared" si="5"/>
        <v>0.9506234246365004</v>
      </c>
      <c r="K17" s="8">
        <f t="shared" si="6"/>
        <v>17.61391001449363</v>
      </c>
      <c r="L17" s="58">
        <f t="shared" si="7"/>
        <v>6.1660700968614073</v>
      </c>
      <c r="M17" s="59">
        <f t="shared" si="8"/>
        <v>6.1680153255867056</v>
      </c>
      <c r="N17" s="59">
        <f t="shared" si="9"/>
        <v>1338.0439651883844</v>
      </c>
      <c r="O17" s="60">
        <f t="shared" si="1"/>
        <v>3.1537352334864023E-4</v>
      </c>
      <c r="P17" s="66">
        <f t="shared" si="10"/>
        <v>17.923728576981052</v>
      </c>
      <c r="Q17" s="67">
        <f t="shared" si="11"/>
        <v>670.35232095549804</v>
      </c>
      <c r="R17" s="64">
        <f t="shared" si="12"/>
        <v>3.1547301518496053E-4</v>
      </c>
      <c r="S17" s="68">
        <f t="shared" si="13"/>
        <v>8.0465640871690905E-2</v>
      </c>
      <c r="T17" s="69">
        <f t="shared" si="14"/>
        <v>1.9534605942982397E-2</v>
      </c>
      <c r="U17" s="69">
        <f t="shared" si="15"/>
        <v>36.804435166227741</v>
      </c>
      <c r="V17" s="69">
        <f t="shared" si="16"/>
        <v>3.0092488934852293E-3</v>
      </c>
      <c r="W17" s="69">
        <f t="shared" si="17"/>
        <v>7.5840924719181571E-3</v>
      </c>
      <c r="X17" s="69">
        <f t="shared" si="18"/>
        <v>7.5840924719181564E-5</v>
      </c>
      <c r="Y17" s="10">
        <f t="shared" si="2"/>
        <v>905071.69857647375</v>
      </c>
      <c r="Z17" s="11">
        <f t="shared" si="19"/>
        <v>1.3244344619114832E-2</v>
      </c>
      <c r="AA17" s="94">
        <f t="shared" si="20"/>
        <v>406.08465701011471</v>
      </c>
      <c r="AB17" s="8">
        <f t="shared" si="3"/>
        <v>4.0608465701011467E-2</v>
      </c>
      <c r="AC17" s="58">
        <f t="shared" si="4"/>
        <v>2.4369309950044249</v>
      </c>
      <c r="AE17" s="1"/>
    </row>
    <row r="18" spans="2:31" ht="16.5" x14ac:dyDescent="0.3">
      <c r="B18" s="7" t="s">
        <v>86</v>
      </c>
      <c r="C18" s="6">
        <v>7.7999999999999996E-3</v>
      </c>
      <c r="D18" s="5" t="s">
        <v>27</v>
      </c>
      <c r="F18" s="6">
        <v>11</v>
      </c>
      <c r="G18" s="6">
        <v>100</v>
      </c>
      <c r="H18" s="8">
        <f t="shared" si="21"/>
        <v>2.4369309950044249</v>
      </c>
      <c r="I18" s="8">
        <f t="shared" si="22"/>
        <v>284.98333333333352</v>
      </c>
      <c r="J18" s="8">
        <f t="shared" si="5"/>
        <v>0.950281310116739</v>
      </c>
      <c r="K18" s="8">
        <f t="shared" si="6"/>
        <v>17.442939354619927</v>
      </c>
      <c r="L18" s="58">
        <f t="shared" si="7"/>
        <v>6.2265081372544486</v>
      </c>
      <c r="M18" s="59">
        <f t="shared" si="8"/>
        <v>6.228453365979747</v>
      </c>
      <c r="N18" s="59">
        <f t="shared" si="9"/>
        <v>1338.2768331636134</v>
      </c>
      <c r="O18" s="60">
        <f t="shared" si="1"/>
        <v>3.1231328405277408E-4</v>
      </c>
      <c r="P18" s="66">
        <f t="shared" si="10"/>
        <v>17.749804976999325</v>
      </c>
      <c r="Q18" s="67">
        <f t="shared" si="11"/>
        <v>683.43479689538265</v>
      </c>
      <c r="R18" s="64">
        <f t="shared" si="12"/>
        <v>3.124108541125957E-4</v>
      </c>
      <c r="S18" s="68">
        <f t="shared" si="13"/>
        <v>8.0473837274802271E-2</v>
      </c>
      <c r="T18" s="69">
        <f t="shared" si="14"/>
        <v>1.9409771089290317E-2</v>
      </c>
      <c r="U18" s="69">
        <f t="shared" si="15"/>
        <v>36.514146983912696</v>
      </c>
      <c r="V18" s="69">
        <f t="shared" si="16"/>
        <v>2.9800485293674573E-3</v>
      </c>
      <c r="W18" s="69">
        <f t="shared" si="17"/>
        <v>7.5848849777540601E-3</v>
      </c>
      <c r="X18" s="69">
        <f t="shared" si="18"/>
        <v>7.5848849777540594E-5</v>
      </c>
      <c r="Y18" s="10">
        <f t="shared" si="2"/>
        <v>905071.69857647375</v>
      </c>
      <c r="Z18" s="11">
        <f t="shared" si="19"/>
        <v>1.3244461364250632E-2</v>
      </c>
      <c r="AA18" s="94">
        <f t="shared" si="20"/>
        <v>403.68077518799737</v>
      </c>
      <c r="AB18" s="8">
        <f t="shared" si="3"/>
        <v>4.0368077518799735E-2</v>
      </c>
      <c r="AC18" s="95">
        <f t="shared" si="4"/>
        <v>2.3965629174856251</v>
      </c>
      <c r="AE18" s="1"/>
    </row>
    <row r="19" spans="2:31" x14ac:dyDescent="0.25">
      <c r="B19" s="9"/>
      <c r="C19" s="8"/>
      <c r="E19" s="28" t="s">
        <v>71</v>
      </c>
      <c r="F19" s="6">
        <v>12</v>
      </c>
      <c r="G19" s="6">
        <v>0</v>
      </c>
      <c r="H19" s="16">
        <f>AC18</f>
        <v>2.3965629174856251</v>
      </c>
      <c r="I19" s="8">
        <f t="shared" si="22"/>
        <v>283.1500000000002</v>
      </c>
      <c r="J19" s="8">
        <f t="shared" si="5"/>
        <v>0.94997166939348221</v>
      </c>
      <c r="K19" s="8">
        <f t="shared" si="6"/>
        <v>17.270690611138356</v>
      </c>
      <c r="L19" s="5"/>
      <c r="M19" s="52"/>
      <c r="N19" s="52"/>
      <c r="O19" s="5"/>
      <c r="P19" s="5"/>
      <c r="Q19" s="62"/>
      <c r="R19" s="62"/>
      <c r="S19" s="62"/>
      <c r="T19" s="62"/>
      <c r="U19" s="70"/>
      <c r="V19" s="62"/>
      <c r="W19" s="70"/>
      <c r="X19" s="70"/>
      <c r="Y19" s="71"/>
      <c r="AE19" s="1"/>
    </row>
    <row r="20" spans="2:31" x14ac:dyDescent="0.25">
      <c r="B20" s="6" t="s">
        <v>72</v>
      </c>
      <c r="C20" s="6">
        <v>12</v>
      </c>
      <c r="D20" s="5" t="s">
        <v>73</v>
      </c>
      <c r="L20" s="5"/>
      <c r="M20" s="52"/>
      <c r="N20" s="52"/>
      <c r="O20" s="5"/>
      <c r="P20" s="5"/>
      <c r="Q20" s="62"/>
      <c r="R20" s="62"/>
      <c r="S20" s="62"/>
      <c r="T20" s="62"/>
      <c r="U20" s="70"/>
      <c r="V20" s="62"/>
      <c r="W20" s="70"/>
      <c r="X20" s="70"/>
      <c r="Y20" s="71"/>
      <c r="AE20" s="1"/>
    </row>
    <row r="21" spans="2:31" x14ac:dyDescent="0.25">
      <c r="B21" s="8" t="s">
        <v>74</v>
      </c>
      <c r="C21" s="8">
        <f>C20*C6</f>
        <v>1320</v>
      </c>
      <c r="D21" s="5" t="s">
        <v>75</v>
      </c>
      <c r="L21" s="5"/>
      <c r="M21" s="52"/>
      <c r="N21" s="52"/>
      <c r="O21" s="5"/>
      <c r="P21" s="5"/>
      <c r="Q21" s="62"/>
      <c r="R21" s="62"/>
      <c r="S21" s="62"/>
      <c r="T21" s="62"/>
      <c r="U21" s="70"/>
      <c r="V21" s="62"/>
      <c r="W21" s="70"/>
      <c r="X21" s="70"/>
      <c r="Y21" s="71"/>
      <c r="AE21" s="1"/>
    </row>
    <row r="22" spans="2:31" x14ac:dyDescent="0.25">
      <c r="B22" s="16" t="s">
        <v>76</v>
      </c>
      <c r="C22" s="50">
        <f>C21/1000/24/3600/(3.14159*C16^2/4)</f>
        <v>1.9452287252986896E-3</v>
      </c>
      <c r="D22" s="5" t="s">
        <v>45</v>
      </c>
      <c r="L22" s="5"/>
      <c r="M22" s="52"/>
      <c r="N22" s="52"/>
      <c r="O22" s="5"/>
      <c r="P22" s="5"/>
      <c r="Q22" s="62"/>
      <c r="R22" s="62"/>
      <c r="S22" s="62"/>
      <c r="T22" s="62"/>
      <c r="U22" s="70"/>
      <c r="V22" s="62"/>
      <c r="W22" s="70"/>
      <c r="X22" s="70"/>
      <c r="Y22" s="71"/>
    </row>
    <row r="23" spans="2:31" x14ac:dyDescent="0.25">
      <c r="B23" s="5"/>
      <c r="C23" s="52"/>
      <c r="L23" s="5"/>
      <c r="M23" s="5"/>
      <c r="N23" s="5"/>
      <c r="O23" s="5"/>
      <c r="P23" s="5"/>
      <c r="Q23" s="62"/>
      <c r="R23" s="62"/>
      <c r="S23" s="62"/>
      <c r="T23" s="62"/>
      <c r="U23" s="62"/>
      <c r="V23" s="62"/>
      <c r="W23" s="62"/>
      <c r="X23" s="62"/>
      <c r="Y23" s="71"/>
    </row>
    <row r="24" spans="2:31" x14ac:dyDescent="0.25">
      <c r="B24" s="6" t="s">
        <v>81</v>
      </c>
      <c r="C24" s="6">
        <v>1000</v>
      </c>
      <c r="D24" s="2"/>
    </row>
    <row r="25" spans="2:31" ht="15.75" x14ac:dyDescent="0.25">
      <c r="B25" s="55" t="s">
        <v>82</v>
      </c>
      <c r="C25" s="56">
        <v>7.1999999999999995E-2</v>
      </c>
      <c r="D25" s="2"/>
    </row>
    <row r="26" spans="2:31" x14ac:dyDescent="0.25">
      <c r="D26" s="2"/>
    </row>
    <row r="27" spans="2:31" x14ac:dyDescent="0.25">
      <c r="D27" s="2"/>
    </row>
    <row r="28" spans="2:31" x14ac:dyDescent="0.25">
      <c r="D28" s="2"/>
    </row>
    <row r="29" spans="2:31" x14ac:dyDescent="0.25">
      <c r="C29" s="37"/>
      <c r="D29" s="2"/>
    </row>
    <row r="30" spans="2:31" x14ac:dyDescent="0.25">
      <c r="B30" s="38"/>
      <c r="D30" s="2"/>
    </row>
    <row r="31" spans="2:31" x14ac:dyDescent="0.25">
      <c r="D31" s="2"/>
    </row>
    <row r="32" spans="2:31" x14ac:dyDescent="0.25">
      <c r="D32" s="2"/>
    </row>
    <row r="33" spans="4:4" x14ac:dyDescent="0.25">
      <c r="D33" s="23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0932-DDE3-4FE2-BD6E-72E20555D0ED}">
  <dimension ref="A2:Y33"/>
  <sheetViews>
    <sheetView workbookViewId="0">
      <selection activeCell="B15" sqref="B15:C15"/>
    </sheetView>
  </sheetViews>
  <sheetFormatPr defaultRowHeight="15" x14ac:dyDescent="0.25"/>
  <cols>
    <col min="1" max="1" width="11.42578125" customWidth="1"/>
    <col min="4" max="4" width="18.28515625" style="5" customWidth="1"/>
    <col min="5" max="5" width="12.140625" style="27" customWidth="1"/>
    <col min="6" max="6" width="6" customWidth="1"/>
    <col min="13" max="13" width="9.5703125" customWidth="1"/>
    <col min="14" max="14" width="9.140625" style="2"/>
    <col min="15" max="15" width="9.140625" style="3"/>
    <col min="19" max="19" width="9.140625" style="46"/>
    <col min="22" max="22" width="5.42578125" customWidth="1"/>
    <col min="24" max="24" width="4.7109375" customWidth="1"/>
  </cols>
  <sheetData>
    <row r="2" spans="1:25" x14ac:dyDescent="0.25">
      <c r="G2" s="17" t="s">
        <v>49</v>
      </c>
      <c r="H2" s="16"/>
      <c r="I2" s="16"/>
      <c r="J2" s="16"/>
      <c r="U2" s="17" t="s">
        <v>50</v>
      </c>
      <c r="V2" s="17"/>
      <c r="W2" s="17"/>
      <c r="X2" s="16"/>
    </row>
    <row r="3" spans="1:25" x14ac:dyDescent="0.25">
      <c r="B3" s="6" t="s">
        <v>7</v>
      </c>
      <c r="C3" s="6">
        <v>3</v>
      </c>
      <c r="D3" s="5" t="s">
        <v>24</v>
      </c>
      <c r="V3" s="18" t="s">
        <v>51</v>
      </c>
      <c r="W3" s="18"/>
      <c r="X3" s="18" t="s">
        <v>52</v>
      </c>
      <c r="Y3" s="18"/>
    </row>
    <row r="4" spans="1:25" ht="18.75" x14ac:dyDescent="0.35">
      <c r="B4" s="6" t="s">
        <v>0</v>
      </c>
      <c r="C4" s="6">
        <v>5.0000000000000001E-3</v>
      </c>
      <c r="D4" s="5" t="s">
        <v>41</v>
      </c>
      <c r="K4" s="14" t="s">
        <v>47</v>
      </c>
      <c r="L4" s="12">
        <f>C6*1000/24/3600</f>
        <v>1.2731481481481481</v>
      </c>
      <c r="M4" s="15" t="s">
        <v>48</v>
      </c>
      <c r="V4" s="19">
        <v>1</v>
      </c>
      <c r="W4" s="19"/>
      <c r="X4" s="19">
        <v>2</v>
      </c>
      <c r="Y4" s="18"/>
    </row>
    <row r="5" spans="1:25" ht="17.25" x14ac:dyDescent="0.25">
      <c r="B5" s="6" t="s">
        <v>1</v>
      </c>
      <c r="C5" s="6">
        <v>5.0000000000000004E-6</v>
      </c>
      <c r="D5" s="5" t="s">
        <v>42</v>
      </c>
      <c r="G5" s="19" t="s">
        <v>46</v>
      </c>
      <c r="H5" s="19" t="s">
        <v>24</v>
      </c>
      <c r="I5" s="19" t="s">
        <v>36</v>
      </c>
      <c r="J5" s="19"/>
      <c r="K5" s="19" t="s">
        <v>44</v>
      </c>
      <c r="L5" s="19" t="s">
        <v>45</v>
      </c>
      <c r="M5" s="19"/>
      <c r="N5" s="30"/>
      <c r="O5" s="31"/>
      <c r="P5" s="19" t="s">
        <v>31</v>
      </c>
      <c r="Q5" s="19" t="s">
        <v>24</v>
      </c>
      <c r="R5" s="44" t="s">
        <v>24</v>
      </c>
      <c r="S5" s="47"/>
      <c r="T5" s="5"/>
      <c r="V5" s="20" t="s">
        <v>19</v>
      </c>
      <c r="W5" s="20">
        <f>0.03419*C14/1.205*G7/J7/C11</f>
        <v>8.1128605941939644E-2</v>
      </c>
      <c r="X5" s="21" t="s">
        <v>20</v>
      </c>
      <c r="Y5" s="21">
        <f>0.03419*C14/1.205*G7/W10/C11</f>
        <v>8.1573548748795591E-2</v>
      </c>
    </row>
    <row r="6" spans="1:25" ht="17.25" x14ac:dyDescent="0.25">
      <c r="B6" s="6" t="s">
        <v>5</v>
      </c>
      <c r="C6" s="6">
        <v>110</v>
      </c>
      <c r="D6" s="5" t="s">
        <v>43</v>
      </c>
      <c r="E6" s="28" t="s">
        <v>70</v>
      </c>
      <c r="F6" s="6"/>
      <c r="G6" s="33" t="s">
        <v>6</v>
      </c>
      <c r="H6" s="34" t="s">
        <v>8</v>
      </c>
      <c r="I6" s="34" t="s">
        <v>4</v>
      </c>
      <c r="J6" s="34" t="s">
        <v>10</v>
      </c>
      <c r="K6" s="34" t="s">
        <v>2</v>
      </c>
      <c r="L6" s="51" t="s">
        <v>3</v>
      </c>
      <c r="M6" s="48" t="s">
        <v>1</v>
      </c>
      <c r="N6" s="35" t="s">
        <v>23</v>
      </c>
      <c r="O6" s="36" t="s">
        <v>29</v>
      </c>
      <c r="P6" s="34" t="s">
        <v>30</v>
      </c>
      <c r="Q6" s="34" t="s">
        <v>18</v>
      </c>
      <c r="R6" s="45" t="s">
        <v>8</v>
      </c>
      <c r="S6" s="47"/>
      <c r="T6" s="42"/>
      <c r="V6" s="20" t="s">
        <v>32</v>
      </c>
      <c r="W6" s="20">
        <f>EXP(-2*W5)</f>
        <v>0.8502224890851976</v>
      </c>
      <c r="X6" s="21"/>
      <c r="Y6" s="21">
        <f t="shared" ref="Y6" si="0">EXP(-2*Y5)</f>
        <v>0.84946622486793677</v>
      </c>
    </row>
    <row r="7" spans="1:25" x14ac:dyDescent="0.25">
      <c r="B7" s="13" t="s">
        <v>9</v>
      </c>
      <c r="C7" s="13">
        <f>(C3^2-C4*C6-C5*C6^2)^0.5</f>
        <v>2.8964633607211399</v>
      </c>
      <c r="D7" s="5" t="s">
        <v>24</v>
      </c>
      <c r="F7" s="6">
        <v>0</v>
      </c>
      <c r="G7" s="6">
        <v>1200</v>
      </c>
      <c r="H7" s="6">
        <f>C7</f>
        <v>2.8964633607211399</v>
      </c>
      <c r="I7" s="6">
        <f>C9</f>
        <v>305.14999999999998</v>
      </c>
      <c r="J7" s="8">
        <f>1/(1+(98-0.27*I7)*H7/10000*1000000/98066.5)</f>
        <v>0.95592811844703995</v>
      </c>
      <c r="K7" s="8">
        <f>C$14*H7/I7/J7*293.15*1000000/101325</f>
        <v>19.247641330305306</v>
      </c>
      <c r="L7" s="16">
        <f>L$4*C$14/K7/(3.14159*C$16^2/4)</f>
        <v>5.6426967837442605</v>
      </c>
      <c r="M7" s="49">
        <f t="shared" ref="M7:M18" si="1">C$22/(C$22+L7)</f>
        <v>2.8726997616953249E-5</v>
      </c>
      <c r="N7" s="10">
        <f t="shared" ref="N7:N18" si="2">L7*K7*C$16/C$17</f>
        <v>905071.69857647375</v>
      </c>
      <c r="O7" s="11">
        <f t="shared" ref="O7:O18" si="3">(-2*LOG10(C$19/3.7-5.02/N7*LOG10(C$19/3.7+13/N7)))^(-2)</f>
        <v>1.3276037236851865E-2</v>
      </c>
      <c r="P7" s="8">
        <f t="shared" ref="P7:P18" si="4">O7/2*K7*L7^2/C$16+K7*9.80665</f>
        <v>229.43567490133844</v>
      </c>
      <c r="Q7" s="8">
        <f t="shared" ref="Q7:Q18" si="5">(P7*(G7-G8))/1000000</f>
        <v>2.2943567490133845E-2</v>
      </c>
      <c r="R7" s="8">
        <f t="shared" ref="R7:R18" si="6">H7-Q7</f>
        <v>2.8735197932310061</v>
      </c>
      <c r="T7" s="41"/>
      <c r="V7" s="20" t="s">
        <v>33</v>
      </c>
      <c r="W7" s="20">
        <f>((H7*10.197)^2*W6+1.377*O7*J7^2*C11^2/(C16*100)^5*(W6-1)*C6^2)^0.5</f>
        <v>26.748448900907839</v>
      </c>
      <c r="X7" s="21"/>
      <c r="Y7" s="21">
        <f>((H7*10.197)^2*Y6+1.377*O7*W10^2*C11^2/(C16*100)^5*(Y6-1)*C6^2)^0.5</f>
        <v>26.738997056915764</v>
      </c>
    </row>
    <row r="8" spans="1:25" x14ac:dyDescent="0.25">
      <c r="F8" s="6">
        <v>1</v>
      </c>
      <c r="G8" s="6">
        <v>1100</v>
      </c>
      <c r="H8" s="8">
        <f>R7</f>
        <v>2.8735197932310061</v>
      </c>
      <c r="I8" s="8">
        <f>I7-C$12</f>
        <v>303.31666666666666</v>
      </c>
      <c r="J8" s="8">
        <f t="shared" ref="J8:J19" si="7">1/(1+(98-0.27*I8)*H8/10000*1000000/98066.5)</f>
        <v>0.9549374574638273</v>
      </c>
      <c r="K8" s="8">
        <f t="shared" ref="K8:K19" si="8">C$14*H8/I8/J8*293.15*1000000/101325</f>
        <v>19.230522231438719</v>
      </c>
      <c r="L8" s="16">
        <f t="shared" ref="L8:L18" si="9">L$4*C$14/K8/(3.14159*C$16^2/4)</f>
        <v>5.6477199382354657</v>
      </c>
      <c r="M8" s="49">
        <f t="shared" si="1"/>
        <v>2.8701448190449582E-5</v>
      </c>
      <c r="N8" s="10">
        <f t="shared" si="2"/>
        <v>905071.69857647363</v>
      </c>
      <c r="O8" s="11">
        <f t="shared" si="3"/>
        <v>1.3276037236851865E-2</v>
      </c>
      <c r="P8" s="8">
        <f t="shared" si="4"/>
        <v>229.30400811851837</v>
      </c>
      <c r="Q8" s="8">
        <f t="shared" si="5"/>
        <v>2.2930400811851836E-2</v>
      </c>
      <c r="R8" s="8">
        <f t="shared" si="6"/>
        <v>2.8505893924191543</v>
      </c>
      <c r="T8" s="41"/>
      <c r="V8" s="4"/>
      <c r="W8" s="4"/>
      <c r="Y8" s="17">
        <f>Y7/10.197</f>
        <v>2.6222415472115097</v>
      </c>
    </row>
    <row r="9" spans="1:25" x14ac:dyDescent="0.25">
      <c r="A9">
        <f>32+273.15</f>
        <v>305.14999999999998</v>
      </c>
      <c r="B9" s="6" t="s">
        <v>11</v>
      </c>
      <c r="C9" s="6">
        <f>32+273.15</f>
        <v>305.14999999999998</v>
      </c>
      <c r="D9" s="5" t="s">
        <v>36</v>
      </c>
      <c r="F9" s="6">
        <v>2</v>
      </c>
      <c r="G9" s="6">
        <v>1000</v>
      </c>
      <c r="H9" s="8">
        <f t="shared" ref="H9:H18" si="10">R8</f>
        <v>2.8505893924191543</v>
      </c>
      <c r="I9" s="8">
        <f t="shared" ref="I9:I19" si="11">I8-C$12</f>
        <v>301.48333333333335</v>
      </c>
      <c r="J9" s="8">
        <f t="shared" si="7"/>
        <v>0.95396972312566597</v>
      </c>
      <c r="K9" s="8">
        <f t="shared" si="8"/>
        <v>19.212543055197731</v>
      </c>
      <c r="L9" s="16">
        <f t="shared" si="9"/>
        <v>5.6530050976148125</v>
      </c>
      <c r="M9" s="49">
        <f t="shared" si="1"/>
        <v>2.8674615138686252E-5</v>
      </c>
      <c r="N9" s="10">
        <f t="shared" si="2"/>
        <v>905071.69857647375</v>
      </c>
      <c r="O9" s="11">
        <f t="shared" si="3"/>
        <v>1.3276037236851865E-2</v>
      </c>
      <c r="P9" s="8">
        <f t="shared" si="4"/>
        <v>229.16579577150344</v>
      </c>
      <c r="Q9" s="8">
        <f t="shared" si="5"/>
        <v>2.2916579577150344E-2</v>
      </c>
      <c r="R9" s="8">
        <f t="shared" si="6"/>
        <v>2.8276728128420041</v>
      </c>
      <c r="T9" s="1"/>
      <c r="V9" s="20" t="s">
        <v>21</v>
      </c>
      <c r="W9" s="20">
        <f>1/(1+(98-0.27*C10)*W7/10000)</f>
        <v>0.94549990129336037</v>
      </c>
    </row>
    <row r="10" spans="1:25" x14ac:dyDescent="0.25">
      <c r="B10" s="6" t="s">
        <v>12</v>
      </c>
      <c r="C10" s="6">
        <f>10+273.15</f>
        <v>283.14999999999998</v>
      </c>
      <c r="D10" s="5" t="s">
        <v>36</v>
      </c>
      <c r="F10" s="6">
        <v>3</v>
      </c>
      <c r="G10" s="6">
        <v>900</v>
      </c>
      <c r="H10" s="8">
        <f t="shared" si="10"/>
        <v>2.8276728128420041</v>
      </c>
      <c r="I10" s="8">
        <f t="shared" si="11"/>
        <v>299.65000000000003</v>
      </c>
      <c r="J10" s="8">
        <f t="shared" si="7"/>
        <v>0.95302475385953533</v>
      </c>
      <c r="K10" s="8">
        <f t="shared" si="8"/>
        <v>19.193703511001459</v>
      </c>
      <c r="L10" s="16">
        <f t="shared" si="9"/>
        <v>5.6585537943172088</v>
      </c>
      <c r="M10" s="49">
        <f t="shared" si="1"/>
        <v>2.8646498027778634E-5</v>
      </c>
      <c r="N10" s="10">
        <f t="shared" si="2"/>
        <v>905071.69857647375</v>
      </c>
      <c r="O10" s="11">
        <f t="shared" si="3"/>
        <v>1.3276037236851865E-2</v>
      </c>
      <c r="P10" s="8">
        <f t="shared" si="4"/>
        <v>229.02104605869579</v>
      </c>
      <c r="Q10" s="8">
        <f t="shared" si="5"/>
        <v>2.290210460586958E-2</v>
      </c>
      <c r="R10" s="8">
        <f t="shared" si="6"/>
        <v>2.8047707082361346</v>
      </c>
      <c r="T10" s="1"/>
      <c r="V10" s="20" t="s">
        <v>22</v>
      </c>
      <c r="W10" s="20">
        <f>(W9+J7)/2</f>
        <v>0.95071400987020016</v>
      </c>
    </row>
    <row r="11" spans="1:25" x14ac:dyDescent="0.25">
      <c r="B11" s="8" t="s">
        <v>13</v>
      </c>
      <c r="C11" s="8">
        <f>(C9+C10)/2</f>
        <v>294.14999999999998</v>
      </c>
      <c r="D11" s="5" t="s">
        <v>36</v>
      </c>
      <c r="F11" s="6">
        <v>4</v>
      </c>
      <c r="G11" s="6">
        <v>800</v>
      </c>
      <c r="H11" s="8">
        <f t="shared" si="10"/>
        <v>2.8047707082361346</v>
      </c>
      <c r="I11" s="8">
        <f t="shared" si="11"/>
        <v>297.81666666666672</v>
      </c>
      <c r="J11" s="8">
        <f t="shared" si="7"/>
        <v>0.95210239064765545</v>
      </c>
      <c r="K11" s="8">
        <f t="shared" si="8"/>
        <v>19.174003306201602</v>
      </c>
      <c r="L11" s="16">
        <f t="shared" si="9"/>
        <v>5.6643676385540562</v>
      </c>
      <c r="M11" s="49">
        <f t="shared" si="1"/>
        <v>2.8617096420746594E-5</v>
      </c>
      <c r="N11" s="10">
        <f t="shared" si="2"/>
        <v>905071.69857647363</v>
      </c>
      <c r="O11" s="11">
        <f t="shared" si="3"/>
        <v>1.3276037236851865E-2</v>
      </c>
      <c r="P11" s="8">
        <f t="shared" si="4"/>
        <v>228.86976771894962</v>
      </c>
      <c r="Q11" s="8">
        <f t="shared" si="5"/>
        <v>2.2886976771894961E-2</v>
      </c>
      <c r="R11" s="8">
        <f t="shared" si="6"/>
        <v>2.7818837314642395</v>
      </c>
      <c r="T11" s="1"/>
    </row>
    <row r="12" spans="1:25" x14ac:dyDescent="0.25">
      <c r="B12" s="8" t="s">
        <v>14</v>
      </c>
      <c r="C12" s="8">
        <f>(C9-C10)/F19</f>
        <v>1.8333333333333333</v>
      </c>
      <c r="D12" s="5" t="s">
        <v>36</v>
      </c>
      <c r="F12" s="6">
        <v>5</v>
      </c>
      <c r="G12" s="6">
        <v>700</v>
      </c>
      <c r="H12" s="8">
        <f t="shared" si="10"/>
        <v>2.7818837314642395</v>
      </c>
      <c r="I12" s="8">
        <f t="shared" si="11"/>
        <v>295.98333333333341</v>
      </c>
      <c r="J12" s="8">
        <f t="shared" si="7"/>
        <v>0.95120247698183158</v>
      </c>
      <c r="K12" s="8">
        <f t="shared" si="8"/>
        <v>19.153442143632091</v>
      </c>
      <c r="L12" s="16">
        <f t="shared" si="9"/>
        <v>5.6704483201880107</v>
      </c>
      <c r="M12" s="49">
        <f t="shared" si="1"/>
        <v>2.858640987385743E-5</v>
      </c>
      <c r="N12" s="10">
        <f t="shared" si="2"/>
        <v>905071.69857647375</v>
      </c>
      <c r="O12" s="11">
        <f t="shared" si="3"/>
        <v>1.3276037236851865E-2</v>
      </c>
      <c r="P12" s="8">
        <f t="shared" si="4"/>
        <v>228.71197002105748</v>
      </c>
      <c r="Q12" s="8">
        <f t="shared" si="5"/>
        <v>2.2871197002105749E-2</v>
      </c>
      <c r="R12" s="8">
        <f t="shared" si="6"/>
        <v>2.7590125344621339</v>
      </c>
      <c r="T12" s="1"/>
    </row>
    <row r="13" spans="1:25" x14ac:dyDescent="0.25">
      <c r="F13" s="6">
        <v>6</v>
      </c>
      <c r="G13" s="6">
        <v>600</v>
      </c>
      <c r="H13" s="8">
        <f t="shared" si="10"/>
        <v>2.7590125344621339</v>
      </c>
      <c r="I13" s="8">
        <f t="shared" si="11"/>
        <v>294.15000000000009</v>
      </c>
      <c r="J13" s="8">
        <f t="shared" si="7"/>
        <v>0.95032485881867812</v>
      </c>
      <c r="K13" s="8">
        <f t="shared" si="8"/>
        <v>19.132019719079075</v>
      </c>
      <c r="L13" s="16">
        <f t="shared" si="9"/>
        <v>5.6767976107022715</v>
      </c>
      <c r="M13" s="49">
        <f t="shared" si="1"/>
        <v>2.8554437932849965E-5</v>
      </c>
      <c r="N13" s="10">
        <f t="shared" si="2"/>
        <v>905071.69857647375</v>
      </c>
      <c r="O13" s="11">
        <f t="shared" si="3"/>
        <v>1.3276037236851865E-2</v>
      </c>
      <c r="P13" s="8">
        <f t="shared" si="4"/>
        <v>228.54766275313659</v>
      </c>
      <c r="Q13" s="8">
        <f t="shared" si="5"/>
        <v>2.2854766275313659E-2</v>
      </c>
      <c r="R13" s="8">
        <f t="shared" si="6"/>
        <v>2.7361577681868203</v>
      </c>
      <c r="T13" s="1"/>
    </row>
    <row r="14" spans="1:25" x14ac:dyDescent="0.25">
      <c r="A14" t="s">
        <v>38</v>
      </c>
      <c r="B14" s="6" t="s">
        <v>15</v>
      </c>
      <c r="C14" s="6">
        <v>0.67</v>
      </c>
      <c r="D14" s="5" t="s">
        <v>37</v>
      </c>
      <c r="F14" s="6">
        <v>7</v>
      </c>
      <c r="G14" s="6">
        <v>500</v>
      </c>
      <c r="H14" s="8">
        <f t="shared" si="10"/>
        <v>2.7361577681868203</v>
      </c>
      <c r="I14" s="8">
        <f t="shared" si="11"/>
        <v>292.31666666666678</v>
      </c>
      <c r="J14" s="8">
        <f t="shared" si="7"/>
        <v>0.94946938453569707</v>
      </c>
      <c r="K14" s="8">
        <f t="shared" si="8"/>
        <v>19.109735718668361</v>
      </c>
      <c r="L14" s="16">
        <f t="shared" si="9"/>
        <v>5.6834173652687801</v>
      </c>
      <c r="M14" s="49">
        <f t="shared" si="1"/>
        <v>2.8521180129035389E-5</v>
      </c>
      <c r="N14" s="10">
        <f t="shared" si="2"/>
        <v>905071.69857647363</v>
      </c>
      <c r="O14" s="11">
        <f t="shared" si="3"/>
        <v>1.3276037236851865E-2</v>
      </c>
      <c r="P14" s="8">
        <f t="shared" si="4"/>
        <v>228.37685621191935</v>
      </c>
      <c r="Q14" s="8">
        <f t="shared" si="5"/>
        <v>2.2837685621191935E-2</v>
      </c>
      <c r="R14" s="8">
        <f t="shared" si="6"/>
        <v>2.7133200825656285</v>
      </c>
      <c r="T14" s="1"/>
    </row>
    <row r="15" spans="1:25" x14ac:dyDescent="0.25">
      <c r="B15" s="5"/>
      <c r="C15" s="5"/>
      <c r="F15" s="6">
        <v>8</v>
      </c>
      <c r="G15" s="6">
        <v>400</v>
      </c>
      <c r="H15" s="8">
        <f t="shared" si="10"/>
        <v>2.7133200825656285</v>
      </c>
      <c r="I15" s="8">
        <f t="shared" si="11"/>
        <v>290.48333333333346</v>
      </c>
      <c r="J15" s="8">
        <f t="shared" si="7"/>
        <v>0.94863590488818417</v>
      </c>
      <c r="K15" s="8">
        <f t="shared" si="8"/>
        <v>19.086589816167542</v>
      </c>
      <c r="L15" s="16">
        <f t="shared" si="9"/>
        <v>5.6903095249198747</v>
      </c>
      <c r="M15" s="49">
        <f t="shared" si="1"/>
        <v>2.8486635975270803E-5</v>
      </c>
      <c r="N15" s="10">
        <f t="shared" si="2"/>
        <v>905071.69857647375</v>
      </c>
      <c r="O15" s="11">
        <f t="shared" si="3"/>
        <v>1.3276037236851865E-2</v>
      </c>
      <c r="P15" s="8">
        <f t="shared" si="4"/>
        <v>228.19956119195243</v>
      </c>
      <c r="Q15" s="8">
        <f t="shared" si="5"/>
        <v>2.2819956119195243E-2</v>
      </c>
      <c r="R15" s="8">
        <f t="shared" si="6"/>
        <v>2.6905001264464334</v>
      </c>
      <c r="T15" s="1"/>
    </row>
    <row r="16" spans="1:25" x14ac:dyDescent="0.25">
      <c r="B16" s="6" t="s">
        <v>17</v>
      </c>
      <c r="C16" s="6">
        <v>0.1</v>
      </c>
      <c r="D16" s="5" t="s">
        <v>39</v>
      </c>
      <c r="F16" s="6">
        <v>9</v>
      </c>
      <c r="G16" s="6">
        <v>300</v>
      </c>
      <c r="H16" s="8">
        <f t="shared" si="10"/>
        <v>2.6905001264464334</v>
      </c>
      <c r="I16" s="8">
        <f t="shared" si="11"/>
        <v>288.65000000000015</v>
      </c>
      <c r="J16" s="8">
        <f t="shared" si="7"/>
        <v>0.94782427296694072</v>
      </c>
      <c r="K16" s="8">
        <f t="shared" si="8"/>
        <v>19.062581670199485</v>
      </c>
      <c r="L16" s="16">
        <f t="shared" si="9"/>
        <v>5.6974761188283622</v>
      </c>
      <c r="M16" s="49">
        <f t="shared" si="1"/>
        <v>2.8450804961800473E-5</v>
      </c>
      <c r="N16" s="10">
        <f t="shared" si="2"/>
        <v>905071.69857647375</v>
      </c>
      <c r="O16" s="11">
        <f t="shared" si="3"/>
        <v>1.3276037236851865E-2</v>
      </c>
      <c r="P16" s="8">
        <f t="shared" si="4"/>
        <v>228.01578897470864</v>
      </c>
      <c r="Q16" s="8">
        <f t="shared" si="5"/>
        <v>2.2801578897470864E-2</v>
      </c>
      <c r="R16" s="8">
        <f t="shared" si="6"/>
        <v>2.6676985475489627</v>
      </c>
      <c r="T16" s="1"/>
    </row>
    <row r="17" spans="2:20" x14ac:dyDescent="0.25">
      <c r="B17" s="6" t="s">
        <v>25</v>
      </c>
      <c r="C17" s="6">
        <v>1.2E-5</v>
      </c>
      <c r="D17" s="5" t="s">
        <v>40</v>
      </c>
      <c r="F17" s="6">
        <v>10</v>
      </c>
      <c r="G17" s="6">
        <v>200</v>
      </c>
      <c r="H17" s="8">
        <f t="shared" si="10"/>
        <v>2.6676985475489627</v>
      </c>
      <c r="I17" s="8">
        <f t="shared" si="11"/>
        <v>286.81666666666683</v>
      </c>
      <c r="J17" s="8">
        <f t="shared" si="7"/>
        <v>0.94703434415676735</v>
      </c>
      <c r="K17" s="8">
        <f t="shared" si="8"/>
        <v>19.037710921364017</v>
      </c>
      <c r="L17" s="16">
        <f t="shared" si="9"/>
        <v>5.704919266701169</v>
      </c>
      <c r="M17" s="49">
        <f t="shared" si="1"/>
        <v>2.8413686551960045E-5</v>
      </c>
      <c r="N17" s="10">
        <f t="shared" si="2"/>
        <v>905071.69857647375</v>
      </c>
      <c r="O17" s="11">
        <f t="shared" si="3"/>
        <v>1.3276037236851865E-2</v>
      </c>
      <c r="P17" s="8">
        <f t="shared" si="4"/>
        <v>227.82555131761717</v>
      </c>
      <c r="Q17" s="8">
        <f t="shared" si="5"/>
        <v>2.2782555131761719E-2</v>
      </c>
      <c r="R17" s="8">
        <f t="shared" si="6"/>
        <v>2.644915992417201</v>
      </c>
      <c r="T17" s="1"/>
    </row>
    <row r="18" spans="2:20" x14ac:dyDescent="0.25">
      <c r="B18" s="7" t="s">
        <v>26</v>
      </c>
      <c r="C18" s="6">
        <v>7.7999999999999996E-3</v>
      </c>
      <c r="D18" s="5" t="s">
        <v>27</v>
      </c>
      <c r="F18" s="6">
        <v>11</v>
      </c>
      <c r="G18" s="6">
        <v>100</v>
      </c>
      <c r="H18" s="8">
        <f t="shared" si="10"/>
        <v>2.644915992417201</v>
      </c>
      <c r="I18" s="8">
        <f t="shared" si="11"/>
        <v>284.98333333333352</v>
      </c>
      <c r="J18" s="8">
        <f t="shared" si="7"/>
        <v>0.94626597609571583</v>
      </c>
      <c r="K18" s="8">
        <f t="shared" si="8"/>
        <v>19.011977189264265</v>
      </c>
      <c r="L18" s="16">
        <f t="shared" si="9"/>
        <v>5.7126411812920876</v>
      </c>
      <c r="M18" s="49">
        <f t="shared" si="1"/>
        <v>2.8375280177738488E-5</v>
      </c>
      <c r="N18" s="10">
        <f t="shared" si="2"/>
        <v>905071.69857647363</v>
      </c>
      <c r="O18" s="11">
        <f t="shared" si="3"/>
        <v>1.3276037236851865E-2</v>
      </c>
      <c r="P18" s="8">
        <f t="shared" si="4"/>
        <v>227.62886044301749</v>
      </c>
      <c r="Q18" s="8">
        <f t="shared" si="5"/>
        <v>2.2762886044301746E-2</v>
      </c>
      <c r="R18" s="16">
        <f t="shared" si="6"/>
        <v>2.6221531063728993</v>
      </c>
      <c r="T18" s="1"/>
    </row>
    <row r="19" spans="2:20" x14ac:dyDescent="0.25">
      <c r="B19" s="9" t="s">
        <v>28</v>
      </c>
      <c r="C19" s="8">
        <f>C18/C16/1000</f>
        <v>7.7999999999999985E-5</v>
      </c>
      <c r="E19" s="28" t="s">
        <v>71</v>
      </c>
      <c r="F19" s="6">
        <v>12</v>
      </c>
      <c r="G19" s="6">
        <v>0</v>
      </c>
      <c r="H19" s="16">
        <f>R18</f>
        <v>2.6221531063728993</v>
      </c>
      <c r="I19" s="8">
        <f t="shared" si="11"/>
        <v>283.1500000000002</v>
      </c>
      <c r="J19" s="8">
        <f t="shared" si="7"/>
        <v>0.94551902863507664</v>
      </c>
      <c r="K19" s="8">
        <f t="shared" si="8"/>
        <v>18.985380069434033</v>
      </c>
      <c r="M19" s="5"/>
      <c r="T19" s="1"/>
    </row>
    <row r="20" spans="2:20" x14ac:dyDescent="0.25">
      <c r="B20" s="6" t="s">
        <v>72</v>
      </c>
      <c r="C20" s="6">
        <v>1</v>
      </c>
      <c r="D20" s="5" t="s">
        <v>73</v>
      </c>
      <c r="M20" s="5"/>
      <c r="T20" s="1"/>
    </row>
    <row r="21" spans="2:20" x14ac:dyDescent="0.25">
      <c r="B21" s="8" t="s">
        <v>74</v>
      </c>
      <c r="C21" s="8">
        <f>C20*C6</f>
        <v>110</v>
      </c>
      <c r="D21" s="5" t="s">
        <v>75</v>
      </c>
      <c r="M21" s="5"/>
      <c r="T21" s="1"/>
    </row>
    <row r="22" spans="2:20" x14ac:dyDescent="0.25">
      <c r="B22" s="16" t="s">
        <v>76</v>
      </c>
      <c r="C22" s="50">
        <f>C21/1000/24/3600/(3.14159*C16^2/4)</f>
        <v>1.621023937748908E-4</v>
      </c>
      <c r="D22" s="5" t="s">
        <v>45</v>
      </c>
      <c r="M22" s="5"/>
    </row>
    <row r="23" spans="2:20" x14ac:dyDescent="0.25">
      <c r="B23" s="5"/>
      <c r="C23" s="52"/>
    </row>
    <row r="24" spans="2:20" x14ac:dyDescent="0.25">
      <c r="D24" s="2"/>
    </row>
    <row r="25" spans="2:20" ht="21.75" x14ac:dyDescent="0.35">
      <c r="B25" s="53"/>
      <c r="C25" s="54"/>
      <c r="D25" s="2"/>
    </row>
    <row r="26" spans="2:20" x14ac:dyDescent="0.25">
      <c r="D26" s="2"/>
    </row>
    <row r="27" spans="2:20" x14ac:dyDescent="0.25">
      <c r="D27" s="2"/>
    </row>
    <row r="28" spans="2:20" x14ac:dyDescent="0.25">
      <c r="D28" s="2"/>
    </row>
    <row r="29" spans="2:20" x14ac:dyDescent="0.25">
      <c r="C29" s="37"/>
      <c r="D29" s="2"/>
    </row>
    <row r="30" spans="2:20" x14ac:dyDescent="0.25">
      <c r="B30" s="38"/>
      <c r="D30" s="2"/>
    </row>
    <row r="31" spans="2:20" x14ac:dyDescent="0.25">
      <c r="D31" s="2"/>
    </row>
    <row r="32" spans="2:20" x14ac:dyDescent="0.25">
      <c r="D32" s="2"/>
    </row>
    <row r="33" spans="4:4" x14ac:dyDescent="0.25">
      <c r="D33" s="23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D602-E113-41B0-B2C7-EE9D57EC9264}">
  <dimension ref="A2:Z33"/>
  <sheetViews>
    <sheetView workbookViewId="0">
      <selection activeCell="M25" sqref="M25"/>
    </sheetView>
  </sheetViews>
  <sheetFormatPr defaultRowHeight="15" x14ac:dyDescent="0.25"/>
  <cols>
    <col min="1" max="1" width="11.42578125" customWidth="1"/>
    <col min="4" max="4" width="18.28515625" style="5" customWidth="1"/>
    <col min="5" max="5" width="12.140625" style="27" customWidth="1"/>
    <col min="6" max="6" width="6" customWidth="1"/>
    <col min="14" max="14" width="9.5703125" customWidth="1"/>
    <col min="15" max="15" width="9.140625" style="2"/>
    <col min="16" max="16" width="9.140625" style="3"/>
    <col min="20" max="20" width="9.140625" style="46"/>
    <col min="23" max="23" width="5.42578125" customWidth="1"/>
    <col min="25" max="25" width="4.7109375" customWidth="1"/>
  </cols>
  <sheetData>
    <row r="2" spans="1:26" x14ac:dyDescent="0.25">
      <c r="G2" s="17" t="s">
        <v>49</v>
      </c>
      <c r="H2" s="16"/>
      <c r="I2" s="16"/>
      <c r="J2" s="16"/>
      <c r="V2" s="17" t="s">
        <v>50</v>
      </c>
      <c r="W2" s="17"/>
      <c r="X2" s="17"/>
      <c r="Y2" s="16"/>
    </row>
    <row r="3" spans="1:26" x14ac:dyDescent="0.25">
      <c r="B3" s="5" t="s">
        <v>7</v>
      </c>
      <c r="C3" s="5">
        <v>3</v>
      </c>
      <c r="D3" s="5" t="s">
        <v>24</v>
      </c>
      <c r="W3" s="18" t="s">
        <v>51</v>
      </c>
      <c r="X3" s="18"/>
      <c r="Y3" s="18" t="s">
        <v>52</v>
      </c>
      <c r="Z3" s="18"/>
    </row>
    <row r="4" spans="1:26" ht="18.75" x14ac:dyDescent="0.35">
      <c r="B4" s="5" t="s">
        <v>0</v>
      </c>
      <c r="C4" s="5">
        <v>0</v>
      </c>
      <c r="D4" s="5" t="s">
        <v>41</v>
      </c>
      <c r="K4" s="14" t="s">
        <v>47</v>
      </c>
      <c r="L4" s="12">
        <f>C6*1000/24/3600</f>
        <v>1.2731481481481481</v>
      </c>
      <c r="M4" s="15" t="s">
        <v>48</v>
      </c>
      <c r="N4" s="43"/>
      <c r="W4" s="19">
        <v>1</v>
      </c>
      <c r="X4" s="19"/>
      <c r="Y4" s="19">
        <v>2</v>
      </c>
      <c r="Z4" s="18"/>
    </row>
    <row r="5" spans="1:26" ht="17.25" x14ac:dyDescent="0.25">
      <c r="B5" s="5" t="s">
        <v>1</v>
      </c>
      <c r="C5" s="5">
        <v>0</v>
      </c>
      <c r="D5" s="5" t="s">
        <v>42</v>
      </c>
      <c r="G5" s="19" t="s">
        <v>46</v>
      </c>
      <c r="H5" s="19" t="s">
        <v>24</v>
      </c>
      <c r="I5" s="19" t="s">
        <v>36</v>
      </c>
      <c r="J5" s="19"/>
      <c r="K5" s="19" t="s">
        <v>44</v>
      </c>
      <c r="L5" s="19" t="s">
        <v>45</v>
      </c>
      <c r="M5" s="19"/>
      <c r="N5" s="19"/>
      <c r="O5" s="30"/>
      <c r="P5" s="31"/>
      <c r="Q5" s="19" t="s">
        <v>31</v>
      </c>
      <c r="R5" s="19" t="s">
        <v>24</v>
      </c>
      <c r="S5" s="44" t="s">
        <v>24</v>
      </c>
      <c r="T5" s="47"/>
      <c r="U5" s="5"/>
      <c r="W5" s="20" t="s">
        <v>19</v>
      </c>
      <c r="X5" s="20">
        <f>0.03419*C14/1.205*G7/J7/C11</f>
        <v>8.1256414998895271E-2</v>
      </c>
      <c r="Y5" s="21" t="s">
        <v>20</v>
      </c>
      <c r="Z5" s="21">
        <f>0.03419*C14/1.205*G7/X10/C11</f>
        <v>8.1719780194327796E-2</v>
      </c>
    </row>
    <row r="6" spans="1:26" ht="17.25" x14ac:dyDescent="0.25">
      <c r="B6" s="6" t="s">
        <v>5</v>
      </c>
      <c r="C6" s="6">
        <v>110</v>
      </c>
      <c r="D6" s="5" t="s">
        <v>43</v>
      </c>
      <c r="E6" s="28" t="s">
        <v>70</v>
      </c>
      <c r="F6" s="6"/>
      <c r="G6" s="33" t="s">
        <v>6</v>
      </c>
      <c r="H6" s="34" t="s">
        <v>8</v>
      </c>
      <c r="I6" s="34" t="s">
        <v>4</v>
      </c>
      <c r="J6" s="34" t="s">
        <v>10</v>
      </c>
      <c r="K6" s="34" t="s">
        <v>2</v>
      </c>
      <c r="L6" s="51" t="s">
        <v>3</v>
      </c>
      <c r="M6" s="51" t="s">
        <v>78</v>
      </c>
      <c r="N6" s="48" t="s">
        <v>1</v>
      </c>
      <c r="O6" s="35" t="s">
        <v>23</v>
      </c>
      <c r="P6" s="36" t="s">
        <v>29</v>
      </c>
      <c r="Q6" s="34" t="s">
        <v>30</v>
      </c>
      <c r="R6" s="34" t="s">
        <v>18</v>
      </c>
      <c r="S6" s="45" t="s">
        <v>8</v>
      </c>
      <c r="T6" s="47"/>
      <c r="U6" s="42"/>
      <c r="W6" s="20" t="s">
        <v>32</v>
      </c>
      <c r="X6" s="20">
        <f>EXP(-2*X5)</f>
        <v>0.85000518459079843</v>
      </c>
      <c r="Y6" s="21"/>
      <c r="Z6" s="21">
        <f t="shared" ref="Z6" si="0">EXP(-2*Z5)</f>
        <v>0.8492178238457615</v>
      </c>
    </row>
    <row r="7" spans="1:26" x14ac:dyDescent="0.25">
      <c r="B7" s="13" t="s">
        <v>9</v>
      </c>
      <c r="C7" s="13">
        <f>(C3^2-C4*C6-C5*C6^2)^0.5</f>
        <v>3</v>
      </c>
      <c r="D7" s="5" t="s">
        <v>24</v>
      </c>
      <c r="F7" s="6">
        <v>0</v>
      </c>
      <c r="G7" s="6">
        <v>1200</v>
      </c>
      <c r="H7" s="6">
        <f>C7</f>
        <v>3</v>
      </c>
      <c r="I7" s="6">
        <f>C9</f>
        <v>305.14999999999998</v>
      </c>
      <c r="J7" s="8">
        <f>1/(1+(98-0.27*I7)*H7/10000*1000000/98066.5)</f>
        <v>0.95442452920626741</v>
      </c>
      <c r="K7" s="8">
        <f>C$14*H7/I7/J7*293.15*1000000/101325</f>
        <v>19.967071671721659</v>
      </c>
      <c r="L7" s="16">
        <f>L$4*C$14/K7/(3.14159*C$16^2/4)</f>
        <v>5.4393856853327991</v>
      </c>
      <c r="M7" s="16">
        <f t="shared" ref="M7:M18" si="1">L7/(1-C$25)</f>
        <v>5.6076141085905151</v>
      </c>
      <c r="N7" s="49">
        <f t="shared" ref="N7:N18" si="2">C$22/(C$22+L7)</f>
        <v>2.9800711401166036E-5</v>
      </c>
      <c r="O7" s="10">
        <f t="shared" ref="O7:O18" si="3">L7*K7*C$16/C$17</f>
        <v>905071.69857647363</v>
      </c>
      <c r="P7" s="11">
        <f t="shared" ref="P7:P18" si="4">(-2*LOG10(C$19/3.7-5.02/O7*LOG10(C$19/3.7+13/O7)))^(-2)</f>
        <v>1.3276037236851865E-2</v>
      </c>
      <c r="Q7" s="8">
        <f>P7/2*K7*L7^2/C$16+K7*9.80665</f>
        <v>235.02511336093107</v>
      </c>
      <c r="R7" s="8">
        <f>(Q7*(G7-G8))/1000000</f>
        <v>2.3502511336093105E-2</v>
      </c>
      <c r="S7" s="8">
        <f t="shared" ref="S7:S18" si="5">H7-R7</f>
        <v>2.9764974886639068</v>
      </c>
      <c r="U7" s="41"/>
      <c r="W7" s="20" t="s">
        <v>33</v>
      </c>
      <c r="X7" s="20">
        <f>((H7*10.197)^2*X6+1.377*P7*J7^2*C11^2/(C16*100)^5*(X6-1)*C6^2)^0.5</f>
        <v>27.736112647155764</v>
      </c>
      <c r="Y7" s="21"/>
      <c r="Z7" s="21">
        <f>((H7*10.197)^2*Z6+1.377*P7*X10^2*C11^2/(C16*100)^5*(Z6-1)*C6^2)^0.5</f>
        <v>27.725712320500413</v>
      </c>
    </row>
    <row r="8" spans="1:26" x14ac:dyDescent="0.25">
      <c r="F8" s="6">
        <v>1</v>
      </c>
      <c r="G8" s="6">
        <v>1100</v>
      </c>
      <c r="H8" s="8">
        <f>S7</f>
        <v>2.9764974886639068</v>
      </c>
      <c r="I8" s="8">
        <f>I7-C$12</f>
        <v>303.31666666666666</v>
      </c>
      <c r="J8" s="8">
        <f t="shared" ref="J8:J19" si="6">1/(1+(98-0.27*I8)*H8/10000*1000000/98066.5)</f>
        <v>0.95339781875480145</v>
      </c>
      <c r="K8" s="8">
        <f t="shared" ref="K8:K19" si="7">C$14*H8/I8/J8*293.15*1000000/101325</f>
        <v>19.951850440929718</v>
      </c>
      <c r="L8" s="16">
        <f t="shared" ref="L8:L18" si="8">L$4*C$14/K8/(3.14159*C$16^2/4)</f>
        <v>5.4435353828823052</v>
      </c>
      <c r="M8" s="16">
        <f t="shared" si="1"/>
        <v>5.6118921473013454</v>
      </c>
      <c r="N8" s="49">
        <f t="shared" si="2"/>
        <v>2.9777994499756756E-5</v>
      </c>
      <c r="O8" s="10">
        <f t="shared" si="3"/>
        <v>905071.69857647375</v>
      </c>
      <c r="P8" s="11">
        <f t="shared" si="4"/>
        <v>1.3276037236851865E-2</v>
      </c>
      <c r="Q8" s="8">
        <f t="shared" ref="Q8:Q18" si="9">P8/2*K8*L8^2/C$16+K8*9.80665</f>
        <v>234.90576115375583</v>
      </c>
      <c r="R8" s="8">
        <f t="shared" ref="R8:R18" si="10">(Q8*(G8-G9))/1000000</f>
        <v>2.3490576115375583E-2</v>
      </c>
      <c r="S8" s="8">
        <f t="shared" si="5"/>
        <v>2.9530069125485312</v>
      </c>
      <c r="U8" s="41"/>
      <c r="W8" s="4"/>
      <c r="X8" s="4"/>
      <c r="Z8" s="17">
        <f>Z7/10.197</f>
        <v>2.7190067981269408</v>
      </c>
    </row>
    <row r="9" spans="1:26" x14ac:dyDescent="0.25">
      <c r="A9">
        <f>32+273.15</f>
        <v>305.14999999999998</v>
      </c>
      <c r="B9" s="6" t="s">
        <v>11</v>
      </c>
      <c r="C9" s="6">
        <f>32+273.15</f>
        <v>305.14999999999998</v>
      </c>
      <c r="D9" s="5" t="s">
        <v>36</v>
      </c>
      <c r="F9" s="6">
        <v>2</v>
      </c>
      <c r="G9" s="6">
        <v>1000</v>
      </c>
      <c r="H9" s="8">
        <f t="shared" ref="H9:H18" si="11">S8</f>
        <v>2.9530069125485312</v>
      </c>
      <c r="I9" s="8">
        <f t="shared" ref="I9:I19" si="12">I8-C$12</f>
        <v>301.48333333333335</v>
      </c>
      <c r="J9" s="8">
        <f t="shared" si="6"/>
        <v>0.95239465215794494</v>
      </c>
      <c r="K9" s="8">
        <f t="shared" si="7"/>
        <v>19.935737012375043</v>
      </c>
      <c r="L9" s="16">
        <f t="shared" si="8"/>
        <v>5.4479352211437382</v>
      </c>
      <c r="M9" s="16">
        <f t="shared" si="1"/>
        <v>5.6164280630347818</v>
      </c>
      <c r="N9" s="49">
        <f t="shared" si="2"/>
        <v>2.9753946038107086E-5</v>
      </c>
      <c r="O9" s="10">
        <f t="shared" si="3"/>
        <v>905071.69857647363</v>
      </c>
      <c r="P9" s="11">
        <f t="shared" si="4"/>
        <v>1.3276037236851865E-2</v>
      </c>
      <c r="Q9" s="8">
        <f t="shared" si="9"/>
        <v>234.7794628546834</v>
      </c>
      <c r="R9" s="8">
        <f t="shared" si="10"/>
        <v>2.3477946285468339E-2</v>
      </c>
      <c r="S9" s="8">
        <f t="shared" si="5"/>
        <v>2.9295289662630628</v>
      </c>
      <c r="U9" s="1"/>
      <c r="W9" s="20" t="s">
        <v>21</v>
      </c>
      <c r="X9" s="20">
        <f>1/(1+(98-0.27*C10)*X7/10000)</f>
        <v>0.94360102705171922</v>
      </c>
    </row>
    <row r="10" spans="1:26" x14ac:dyDescent="0.25">
      <c r="B10" s="6" t="s">
        <v>12</v>
      </c>
      <c r="C10" s="6">
        <f>10+273.15</f>
        <v>283.14999999999998</v>
      </c>
      <c r="D10" s="5" t="s">
        <v>36</v>
      </c>
      <c r="F10" s="6">
        <v>3</v>
      </c>
      <c r="G10" s="6">
        <v>900</v>
      </c>
      <c r="H10" s="8">
        <f t="shared" si="11"/>
        <v>2.9295289662630628</v>
      </c>
      <c r="I10" s="8">
        <f t="shared" si="12"/>
        <v>299.65000000000003</v>
      </c>
      <c r="J10" s="8">
        <f t="shared" si="6"/>
        <v>0.95141486049718349</v>
      </c>
      <c r="K10" s="8">
        <f t="shared" si="7"/>
        <v>19.918731284881634</v>
      </c>
      <c r="L10" s="16">
        <f t="shared" si="8"/>
        <v>5.4525864261049115</v>
      </c>
      <c r="M10" s="16">
        <f t="shared" si="1"/>
        <v>5.6212231196957854</v>
      </c>
      <c r="N10" s="49">
        <f t="shared" si="2"/>
        <v>2.9728565865024899E-5</v>
      </c>
      <c r="O10" s="10">
        <f t="shared" si="3"/>
        <v>905071.69857647375</v>
      </c>
      <c r="P10" s="11">
        <f t="shared" si="4"/>
        <v>1.3276037236851865E-2</v>
      </c>
      <c r="Q10" s="8">
        <f t="shared" si="9"/>
        <v>234.64622631022556</v>
      </c>
      <c r="R10" s="8">
        <f t="shared" si="10"/>
        <v>2.3464622631022558E-2</v>
      </c>
      <c r="S10" s="8">
        <f t="shared" si="5"/>
        <v>2.9060643436320404</v>
      </c>
      <c r="U10" s="1"/>
      <c r="W10" s="20" t="s">
        <v>22</v>
      </c>
      <c r="X10" s="20">
        <f>(X9+J7)/2</f>
        <v>0.94901277812899332</v>
      </c>
    </row>
    <row r="11" spans="1:26" x14ac:dyDescent="0.25">
      <c r="B11" s="8" t="s">
        <v>13</v>
      </c>
      <c r="C11" s="8">
        <f>(C9+C10)/2</f>
        <v>294.14999999999998</v>
      </c>
      <c r="D11" s="5" t="s">
        <v>36</v>
      </c>
      <c r="F11" s="6">
        <v>4</v>
      </c>
      <c r="G11" s="6">
        <v>800</v>
      </c>
      <c r="H11" s="8">
        <f t="shared" si="11"/>
        <v>2.9060643436320404</v>
      </c>
      <c r="I11" s="8">
        <f t="shared" si="12"/>
        <v>297.81666666666672</v>
      </c>
      <c r="J11" s="8">
        <f t="shared" si="6"/>
        <v>0.95045827754731049</v>
      </c>
      <c r="K11" s="8">
        <f t="shared" si="7"/>
        <v>19.90083316539566</v>
      </c>
      <c r="L11" s="16">
        <f t="shared" si="8"/>
        <v>5.4574902933224774</v>
      </c>
      <c r="M11" s="16">
        <f t="shared" si="1"/>
        <v>5.6262786529097708</v>
      </c>
      <c r="N11" s="49">
        <f t="shared" si="2"/>
        <v>2.9701853841429339E-5</v>
      </c>
      <c r="O11" s="10">
        <f t="shared" si="3"/>
        <v>905071.69857647375</v>
      </c>
      <c r="P11" s="11">
        <f t="shared" si="4"/>
        <v>1.3276037236851865E-2</v>
      </c>
      <c r="Q11" s="8">
        <f t="shared" si="9"/>
        <v>234.50605994809888</v>
      </c>
      <c r="R11" s="8">
        <f t="shared" si="10"/>
        <v>2.3450605994809887E-2</v>
      </c>
      <c r="S11" s="8">
        <f t="shared" si="5"/>
        <v>2.8826137376372305</v>
      </c>
      <c r="U11" s="1"/>
    </row>
    <row r="12" spans="1:26" x14ac:dyDescent="0.25">
      <c r="B12" s="8" t="s">
        <v>14</v>
      </c>
      <c r="C12" s="8">
        <f>(C9-C10)/F19</f>
        <v>1.8333333333333333</v>
      </c>
      <c r="D12" s="5" t="s">
        <v>36</v>
      </c>
      <c r="F12" s="6">
        <v>5</v>
      </c>
      <c r="G12" s="6">
        <v>700</v>
      </c>
      <c r="H12" s="8">
        <f t="shared" si="11"/>
        <v>2.8826137376372305</v>
      </c>
      <c r="I12" s="8">
        <f t="shared" si="12"/>
        <v>295.98333333333341</v>
      </c>
      <c r="J12" s="8">
        <f t="shared" si="6"/>
        <v>0.94952473972777152</v>
      </c>
      <c r="K12" s="8">
        <f t="shared" si="7"/>
        <v>19.882042566643413</v>
      </c>
      <c r="L12" s="16">
        <f t="shared" si="8"/>
        <v>5.4626481894466989</v>
      </c>
      <c r="M12" s="16">
        <f t="shared" si="1"/>
        <v>5.6315960715945348</v>
      </c>
      <c r="N12" s="49">
        <f t="shared" si="2"/>
        <v>2.9673809836855408E-5</v>
      </c>
      <c r="O12" s="10">
        <f t="shared" si="3"/>
        <v>905071.69857647375</v>
      </c>
      <c r="P12" s="11">
        <f t="shared" si="4"/>
        <v>1.3276037236851865E-2</v>
      </c>
      <c r="Q12" s="8">
        <f t="shared" si="9"/>
        <v>234.35897276525017</v>
      </c>
      <c r="R12" s="8">
        <f t="shared" si="10"/>
        <v>2.3435897276525019E-2</v>
      </c>
      <c r="S12" s="8">
        <f t="shared" si="5"/>
        <v>2.8591778403607053</v>
      </c>
      <c r="U12" s="1"/>
    </row>
    <row r="13" spans="1:26" x14ac:dyDescent="0.25">
      <c r="F13" s="6">
        <v>6</v>
      </c>
      <c r="G13" s="6">
        <v>600</v>
      </c>
      <c r="H13" s="8">
        <f t="shared" si="11"/>
        <v>2.8591778403607053</v>
      </c>
      <c r="I13" s="8">
        <f t="shared" si="12"/>
        <v>294.15000000000009</v>
      </c>
      <c r="J13" s="8">
        <f t="shared" si="6"/>
        <v>0.9486140860549539</v>
      </c>
      <c r="K13" s="8">
        <f t="shared" si="7"/>
        <v>19.862359404714169</v>
      </c>
      <c r="L13" s="16">
        <f t="shared" si="8"/>
        <v>5.4680615538252457</v>
      </c>
      <c r="M13" s="16">
        <f t="shared" si="1"/>
        <v>5.6371768596136551</v>
      </c>
      <c r="N13" s="49">
        <f t="shared" si="2"/>
        <v>2.9644433725846501E-5</v>
      </c>
      <c r="O13" s="10">
        <f t="shared" si="3"/>
        <v>905071.69857647375</v>
      </c>
      <c r="P13" s="11">
        <f t="shared" si="4"/>
        <v>1.3276037236851865E-2</v>
      </c>
      <c r="Q13" s="8">
        <f t="shared" si="9"/>
        <v>234.20497431571485</v>
      </c>
      <c r="R13" s="8">
        <f t="shared" si="10"/>
        <v>2.3420497431571485E-2</v>
      </c>
      <c r="S13" s="8">
        <f t="shared" si="5"/>
        <v>2.8357573429291341</v>
      </c>
      <c r="U13" s="1"/>
    </row>
    <row r="14" spans="1:26" x14ac:dyDescent="0.25">
      <c r="A14" t="s">
        <v>38</v>
      </c>
      <c r="B14" s="6" t="s">
        <v>15</v>
      </c>
      <c r="C14" s="6">
        <v>0.67</v>
      </c>
      <c r="D14" s="5" t="s">
        <v>37</v>
      </c>
      <c r="F14" s="6">
        <v>7</v>
      </c>
      <c r="G14" s="6">
        <v>500</v>
      </c>
      <c r="H14" s="8">
        <f t="shared" si="11"/>
        <v>2.8357573429291341</v>
      </c>
      <c r="I14" s="8">
        <f t="shared" si="12"/>
        <v>292.31666666666678</v>
      </c>
      <c r="J14" s="8">
        <f t="shared" si="6"/>
        <v>0.94772615809539207</v>
      </c>
      <c r="K14" s="8">
        <f t="shared" si="7"/>
        <v>19.841783596565556</v>
      </c>
      <c r="L14" s="16">
        <f t="shared" si="8"/>
        <v>5.4737319001894607</v>
      </c>
      <c r="M14" s="16">
        <f t="shared" si="1"/>
        <v>5.6430225775149081</v>
      </c>
      <c r="N14" s="49">
        <f t="shared" si="2"/>
        <v>2.9613725384231332E-5</v>
      </c>
      <c r="O14" s="10">
        <f t="shared" si="3"/>
        <v>905071.69857647375</v>
      </c>
      <c r="P14" s="11">
        <f t="shared" si="4"/>
        <v>1.3276037236851865E-2</v>
      </c>
      <c r="Q14" s="8">
        <f t="shared" si="9"/>
        <v>234.04407469831003</v>
      </c>
      <c r="R14" s="8">
        <f t="shared" si="10"/>
        <v>2.3404407469831003E-2</v>
      </c>
      <c r="S14" s="8">
        <f t="shared" si="5"/>
        <v>2.8123529354593031</v>
      </c>
      <c r="U14" s="1"/>
    </row>
    <row r="15" spans="1:26" x14ac:dyDescent="0.25">
      <c r="B15" s="6" t="s">
        <v>16</v>
      </c>
      <c r="C15" s="6">
        <v>0.02</v>
      </c>
      <c r="F15" s="6">
        <v>8</v>
      </c>
      <c r="G15" s="6">
        <v>400</v>
      </c>
      <c r="H15" s="8">
        <f t="shared" si="11"/>
        <v>2.8123529354593031</v>
      </c>
      <c r="I15" s="8">
        <f t="shared" si="12"/>
        <v>290.48333333333346</v>
      </c>
      <c r="J15" s="8">
        <f t="shared" si="6"/>
        <v>0.94686079991986061</v>
      </c>
      <c r="K15" s="8">
        <f t="shared" si="7"/>
        <v>19.820315057448745</v>
      </c>
      <c r="L15" s="16">
        <f t="shared" si="8"/>
        <v>5.4796608184268116</v>
      </c>
      <c r="M15" s="16">
        <f t="shared" si="1"/>
        <v>5.6491348643575376</v>
      </c>
      <c r="N15" s="49">
        <f t="shared" si="2"/>
        <v>2.9581684685281121E-5</v>
      </c>
      <c r="O15" s="10">
        <f t="shared" si="3"/>
        <v>905071.69857647375</v>
      </c>
      <c r="P15" s="11">
        <f t="shared" si="4"/>
        <v>1.3276037236851865E-2</v>
      </c>
      <c r="Q15" s="8">
        <f t="shared" si="9"/>
        <v>233.87628454416262</v>
      </c>
      <c r="R15" s="8">
        <f t="shared" si="10"/>
        <v>2.3387628454416262E-2</v>
      </c>
      <c r="S15" s="8">
        <f t="shared" si="5"/>
        <v>2.788965307004887</v>
      </c>
      <c r="U15" s="1"/>
    </row>
    <row r="16" spans="1:26" x14ac:dyDescent="0.25">
      <c r="B16" s="6" t="s">
        <v>17</v>
      </c>
      <c r="C16" s="6">
        <v>0.1</v>
      </c>
      <c r="D16" s="5" t="s">
        <v>39</v>
      </c>
      <c r="F16" s="6">
        <v>9</v>
      </c>
      <c r="G16" s="6">
        <v>300</v>
      </c>
      <c r="H16" s="8">
        <f t="shared" si="11"/>
        <v>2.788965307004887</v>
      </c>
      <c r="I16" s="8">
        <f t="shared" si="12"/>
        <v>288.65000000000015</v>
      </c>
      <c r="J16" s="8">
        <f t="shared" si="6"/>
        <v>0.94601785805833016</v>
      </c>
      <c r="K16" s="8">
        <f t="shared" si="7"/>
        <v>19.797953698250844</v>
      </c>
      <c r="L16" s="16">
        <f t="shared" si="8"/>
        <v>5.4858499764433963</v>
      </c>
      <c r="M16" s="16">
        <f t="shared" si="1"/>
        <v>5.6555154396323672</v>
      </c>
      <c r="N16" s="49">
        <f t="shared" si="2"/>
        <v>2.9548311495743268E-5</v>
      </c>
      <c r="O16" s="10">
        <f t="shared" si="3"/>
        <v>905071.69857647375</v>
      </c>
      <c r="P16" s="11">
        <f t="shared" si="4"/>
        <v>1.3276037236851865E-2</v>
      </c>
      <c r="Q16" s="8">
        <f t="shared" si="9"/>
        <v>233.70161500407494</v>
      </c>
      <c r="R16" s="8">
        <f t="shared" si="10"/>
        <v>2.3370161500407494E-2</v>
      </c>
      <c r="S16" s="8">
        <f t="shared" si="5"/>
        <v>2.7655951455044794</v>
      </c>
      <c r="U16" s="1"/>
    </row>
    <row r="17" spans="2:21" x14ac:dyDescent="0.25">
      <c r="B17" s="6" t="s">
        <v>25</v>
      </c>
      <c r="C17" s="6">
        <v>1.2E-5</v>
      </c>
      <c r="D17" s="5" t="s">
        <v>40</v>
      </c>
      <c r="F17" s="6">
        <v>10</v>
      </c>
      <c r="G17" s="6">
        <v>200</v>
      </c>
      <c r="H17" s="8">
        <f t="shared" si="11"/>
        <v>2.7655951455044794</v>
      </c>
      <c r="I17" s="8">
        <f t="shared" si="12"/>
        <v>286.81666666666683</v>
      </c>
      <c r="J17" s="8">
        <f t="shared" si="6"/>
        <v>0.94519718145576015</v>
      </c>
      <c r="K17" s="8">
        <f t="shared" si="7"/>
        <v>19.774699422751386</v>
      </c>
      <c r="L17" s="16">
        <f t="shared" si="8"/>
        <v>5.4923011221206925</v>
      </c>
      <c r="M17" s="16">
        <f t="shared" si="1"/>
        <v>5.6621661052790646</v>
      </c>
      <c r="N17" s="49">
        <f t="shared" si="2"/>
        <v>2.9513605671746782E-5</v>
      </c>
      <c r="O17" s="10">
        <f t="shared" si="3"/>
        <v>905071.69857647375</v>
      </c>
      <c r="P17" s="11">
        <f t="shared" si="4"/>
        <v>1.3276037236851865E-2</v>
      </c>
      <c r="Q17" s="8">
        <f t="shared" si="9"/>
        <v>233.52007773572697</v>
      </c>
      <c r="R17" s="8">
        <f t="shared" si="10"/>
        <v>2.3352007773572696E-2</v>
      </c>
      <c r="S17" s="8">
        <f t="shared" si="5"/>
        <v>2.7422431377309069</v>
      </c>
      <c r="U17" s="1"/>
    </row>
    <row r="18" spans="2:21" x14ac:dyDescent="0.25">
      <c r="B18" s="7" t="s">
        <v>26</v>
      </c>
      <c r="C18" s="6">
        <v>7.7999999999999996E-3</v>
      </c>
      <c r="D18" s="5" t="s">
        <v>27</v>
      </c>
      <c r="F18" s="6">
        <v>11</v>
      </c>
      <c r="G18" s="6">
        <v>100</v>
      </c>
      <c r="H18" s="8">
        <f t="shared" si="11"/>
        <v>2.7422431377309069</v>
      </c>
      <c r="I18" s="8">
        <f t="shared" si="12"/>
        <v>284.98333333333352</v>
      </c>
      <c r="J18" s="8">
        <f t="shared" si="6"/>
        <v>0.94439862142870135</v>
      </c>
      <c r="K18" s="8">
        <f t="shared" si="7"/>
        <v>19.750552124790044</v>
      </c>
      <c r="L18" s="16">
        <f t="shared" si="8"/>
        <v>5.4990160853708989</v>
      </c>
      <c r="M18" s="16">
        <f t="shared" si="1"/>
        <v>5.6690887478050502</v>
      </c>
      <c r="N18" s="49">
        <f t="shared" si="2"/>
        <v>2.9477567054575255E-5</v>
      </c>
      <c r="O18" s="10">
        <f t="shared" si="3"/>
        <v>905071.69857647375</v>
      </c>
      <c r="P18" s="11">
        <f t="shared" si="4"/>
        <v>1.3276037236851865E-2</v>
      </c>
      <c r="Q18" s="8">
        <f t="shared" si="9"/>
        <v>233.33168489071909</v>
      </c>
      <c r="R18" s="8">
        <f t="shared" si="10"/>
        <v>2.3333168489071909E-2</v>
      </c>
      <c r="S18" s="16">
        <f t="shared" si="5"/>
        <v>2.7189099692418348</v>
      </c>
      <c r="U18" s="1"/>
    </row>
    <row r="19" spans="2:21" x14ac:dyDescent="0.25">
      <c r="B19" s="9" t="s">
        <v>28</v>
      </c>
      <c r="C19" s="8">
        <f>C18/C16/1000</f>
        <v>7.7999999999999985E-5</v>
      </c>
      <c r="E19" s="28" t="s">
        <v>71</v>
      </c>
      <c r="F19" s="6">
        <v>12</v>
      </c>
      <c r="G19" s="6">
        <v>0</v>
      </c>
      <c r="H19" s="16">
        <f>S18</f>
        <v>2.7189099692418348</v>
      </c>
      <c r="I19" s="8">
        <f t="shared" si="12"/>
        <v>283.1500000000002</v>
      </c>
      <c r="J19" s="8">
        <f t="shared" si="6"/>
        <v>0.94362203162268476</v>
      </c>
      <c r="K19" s="8">
        <f t="shared" si="7"/>
        <v>19.725511685342219</v>
      </c>
      <c r="N19" s="5"/>
      <c r="U19" s="1"/>
    </row>
    <row r="20" spans="2:21" x14ac:dyDescent="0.25">
      <c r="B20" s="6" t="s">
        <v>72</v>
      </c>
      <c r="C20" s="6">
        <v>1</v>
      </c>
      <c r="D20" s="5" t="s">
        <v>73</v>
      </c>
      <c r="N20" s="5"/>
      <c r="U20" s="1"/>
    </row>
    <row r="21" spans="2:21" x14ac:dyDescent="0.25">
      <c r="B21" s="8" t="s">
        <v>74</v>
      </c>
      <c r="C21" s="8">
        <f>C20*C6</f>
        <v>110</v>
      </c>
      <c r="D21" s="5" t="s">
        <v>75</v>
      </c>
      <c r="N21" s="5"/>
      <c r="U21" s="1"/>
    </row>
    <row r="22" spans="2:21" x14ac:dyDescent="0.25">
      <c r="B22" s="16" t="s">
        <v>76</v>
      </c>
      <c r="C22" s="50">
        <f>C21/1000/24/3600/(3.14159*C16^2/4)</f>
        <v>1.621023937748908E-4</v>
      </c>
      <c r="D22" s="5" t="s">
        <v>45</v>
      </c>
      <c r="N22" s="5"/>
    </row>
    <row r="23" spans="2:21" x14ac:dyDescent="0.25">
      <c r="B23" s="16" t="s">
        <v>79</v>
      </c>
      <c r="C23" s="50">
        <f>C22/C25</f>
        <v>5.4034131258296932E-3</v>
      </c>
    </row>
    <row r="24" spans="2:21" x14ac:dyDescent="0.25">
      <c r="D24" s="2"/>
    </row>
    <row r="25" spans="2:21" ht="21.75" x14ac:dyDescent="0.35">
      <c r="B25" s="39" t="s">
        <v>77</v>
      </c>
      <c r="C25" s="40">
        <v>0.03</v>
      </c>
      <c r="D25" s="2"/>
    </row>
    <row r="26" spans="2:21" x14ac:dyDescent="0.25">
      <c r="D26" s="2"/>
    </row>
    <row r="27" spans="2:21" x14ac:dyDescent="0.25">
      <c r="D27" s="2"/>
    </row>
    <row r="28" spans="2:21" x14ac:dyDescent="0.25">
      <c r="D28" s="2"/>
    </row>
    <row r="29" spans="2:21" x14ac:dyDescent="0.25">
      <c r="C29" s="37"/>
      <c r="D29" s="2"/>
    </row>
    <row r="30" spans="2:21" x14ac:dyDescent="0.25">
      <c r="B30" s="38"/>
      <c r="D30" s="2"/>
    </row>
    <row r="31" spans="2:21" x14ac:dyDescent="0.25">
      <c r="D31" s="2"/>
    </row>
    <row r="32" spans="2:21" x14ac:dyDescent="0.25">
      <c r="D32" s="2"/>
    </row>
    <row r="33" spans="4:4" x14ac:dyDescent="0.25">
      <c r="D33" s="2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21"/>
  <sheetViews>
    <sheetView workbookViewId="0">
      <selection activeCell="J25" sqref="J25"/>
    </sheetView>
  </sheetViews>
  <sheetFormatPr defaultRowHeight="15" x14ac:dyDescent="0.25"/>
  <cols>
    <col min="1" max="1" width="11.42578125" customWidth="1"/>
    <col min="4" max="4" width="18.28515625" style="5" customWidth="1"/>
    <col min="5" max="5" width="12.140625" style="27" customWidth="1"/>
    <col min="6" max="6" width="6" customWidth="1"/>
    <col min="13" max="13" width="9.140625" style="2"/>
    <col min="14" max="14" width="9.140625" style="3"/>
    <col min="20" max="20" width="5.42578125" customWidth="1"/>
    <col min="22" max="22" width="4.7109375" customWidth="1"/>
  </cols>
  <sheetData>
    <row r="2" spans="1:23" x14ac:dyDescent="0.25">
      <c r="G2" s="17" t="s">
        <v>49</v>
      </c>
      <c r="H2" s="16"/>
      <c r="I2" s="16"/>
      <c r="J2" s="16"/>
      <c r="S2" s="17" t="s">
        <v>50</v>
      </c>
      <c r="T2" s="17"/>
      <c r="U2" s="17"/>
      <c r="V2" s="16"/>
    </row>
    <row r="3" spans="1:23" x14ac:dyDescent="0.25">
      <c r="B3" s="5" t="s">
        <v>7</v>
      </c>
      <c r="C3" s="5">
        <v>3</v>
      </c>
      <c r="D3" s="5" t="s">
        <v>24</v>
      </c>
      <c r="T3" s="18" t="s">
        <v>51</v>
      </c>
      <c r="U3" s="18"/>
      <c r="V3" s="18" t="s">
        <v>52</v>
      </c>
      <c r="W3" s="18"/>
    </row>
    <row r="4" spans="1:23" ht="18.75" x14ac:dyDescent="0.35">
      <c r="B4" s="5" t="s">
        <v>0</v>
      </c>
      <c r="C4" s="5">
        <v>0</v>
      </c>
      <c r="D4" s="5" t="s">
        <v>41</v>
      </c>
      <c r="K4" s="14" t="s">
        <v>47</v>
      </c>
      <c r="L4" s="12">
        <f>C6*1000/24/3600</f>
        <v>1.2731481481481481</v>
      </c>
      <c r="M4" s="15" t="s">
        <v>48</v>
      </c>
      <c r="T4" s="19">
        <v>1</v>
      </c>
      <c r="U4" s="19"/>
      <c r="V4" s="19">
        <v>2</v>
      </c>
      <c r="W4" s="18"/>
    </row>
    <row r="5" spans="1:23" ht="17.25" x14ac:dyDescent="0.25">
      <c r="B5" s="5" t="s">
        <v>1</v>
      </c>
      <c r="C5" s="5">
        <v>0</v>
      </c>
      <c r="D5" s="5" t="s">
        <v>42</v>
      </c>
      <c r="G5" s="19" t="s">
        <v>46</v>
      </c>
      <c r="H5" s="19" t="s">
        <v>24</v>
      </c>
      <c r="I5" s="19" t="s">
        <v>36</v>
      </c>
      <c r="J5" s="19"/>
      <c r="K5" s="19" t="s">
        <v>44</v>
      </c>
      <c r="L5" s="19" t="s">
        <v>45</v>
      </c>
      <c r="M5" s="30"/>
      <c r="N5" s="31"/>
      <c r="O5" s="19" t="s">
        <v>31</v>
      </c>
      <c r="P5" s="19" t="s">
        <v>24</v>
      </c>
      <c r="Q5" s="19" t="s">
        <v>24</v>
      </c>
      <c r="T5" s="20" t="s">
        <v>19</v>
      </c>
      <c r="U5" s="20">
        <f>0.03419*C14/1.205*G7/J7/C11</f>
        <v>8.1256414998895271E-2</v>
      </c>
      <c r="V5" s="21" t="s">
        <v>20</v>
      </c>
      <c r="W5" s="21">
        <f>0.03419*C14/1.205*G7/U10/C11</f>
        <v>8.1719780194327796E-2</v>
      </c>
    </row>
    <row r="6" spans="1:23" ht="17.25" x14ac:dyDescent="0.25">
      <c r="B6" s="6" t="s">
        <v>5</v>
      </c>
      <c r="C6" s="6">
        <v>110</v>
      </c>
      <c r="D6" s="5" t="s">
        <v>43</v>
      </c>
      <c r="E6" s="28" t="s">
        <v>70</v>
      </c>
      <c r="F6" s="6"/>
      <c r="G6" s="33" t="s">
        <v>6</v>
      </c>
      <c r="H6" s="34" t="s">
        <v>8</v>
      </c>
      <c r="I6" s="34" t="s">
        <v>4</v>
      </c>
      <c r="J6" s="34" t="s">
        <v>10</v>
      </c>
      <c r="K6" s="34" t="s">
        <v>2</v>
      </c>
      <c r="L6" s="34" t="s">
        <v>3</v>
      </c>
      <c r="M6" s="35" t="s">
        <v>23</v>
      </c>
      <c r="N6" s="36" t="s">
        <v>29</v>
      </c>
      <c r="O6" s="34" t="s">
        <v>30</v>
      </c>
      <c r="P6" s="34" t="s">
        <v>18</v>
      </c>
      <c r="Q6" s="34" t="s">
        <v>8</v>
      </c>
      <c r="T6" s="20" t="s">
        <v>32</v>
      </c>
      <c r="U6" s="20">
        <f>EXP(-2*U5)</f>
        <v>0.85000518459079843</v>
      </c>
      <c r="V6" s="21"/>
      <c r="W6" s="21">
        <f t="shared" ref="W6" si="0">EXP(-2*W5)</f>
        <v>0.8492178238457615</v>
      </c>
    </row>
    <row r="7" spans="1:23" x14ac:dyDescent="0.25">
      <c r="B7" s="13" t="s">
        <v>9</v>
      </c>
      <c r="C7" s="13">
        <f>(C3^2-C4*C6-C5*C6^2)^0.5</f>
        <v>3</v>
      </c>
      <c r="D7" s="5" t="s">
        <v>24</v>
      </c>
      <c r="F7" s="6">
        <v>0</v>
      </c>
      <c r="G7" s="6">
        <v>1200</v>
      </c>
      <c r="H7" s="6">
        <f>C7</f>
        <v>3</v>
      </c>
      <c r="I7" s="6">
        <f>C9</f>
        <v>305.14999999999998</v>
      </c>
      <c r="J7" s="8">
        <f>1/(1+(98-0.27*I7)*H7/10000*1000000/98066.5)</f>
        <v>0.95442452920626741</v>
      </c>
      <c r="K7" s="8">
        <f>C$14*H7/I7/J7*293.15*1000000/101325</f>
        <v>19.967071671721659</v>
      </c>
      <c r="L7" s="8">
        <f>L$4*C$14/K7/(3.14159*C$16^2/4)</f>
        <v>5.4393856853327991</v>
      </c>
      <c r="M7" s="10">
        <f t="shared" ref="M7:M18" si="1">L7*K7*C$16/C$17</f>
        <v>905071.69857647363</v>
      </c>
      <c r="N7" s="11">
        <f t="shared" ref="N7:N18" si="2">(-2*LOG10(C$19/3.7-5.02/M7*LOG10(C$19/3.7+13/M7)))^(-2)</f>
        <v>1.3276037236851865E-2</v>
      </c>
      <c r="O7" s="8">
        <f>N7/2*K7*L7^2/C$16+K7*9.80665</f>
        <v>235.02511336093107</v>
      </c>
      <c r="P7" s="8">
        <f>(O7*(G7-G8))/1000000</f>
        <v>2.3502511336093105E-2</v>
      </c>
      <c r="Q7" s="8">
        <f t="shared" ref="Q7:Q18" si="3">H7-P7</f>
        <v>2.9764974886639068</v>
      </c>
      <c r="R7" s="1"/>
      <c r="T7" s="20" t="s">
        <v>33</v>
      </c>
      <c r="U7" s="20">
        <f>((H7*10.197)^2*U6+1.377*N7*J7^2*C11^2/(C16*100)^5*(U6-1)*C6^2)^0.5</f>
        <v>27.736112647155764</v>
      </c>
      <c r="V7" s="21"/>
      <c r="W7" s="21">
        <f>((H7*10.197)^2*W6+1.377*N7*U10^2*C11^2/(C16*100)^5*(W6-1)*C6^2)^0.5</f>
        <v>27.725712320500413</v>
      </c>
    </row>
    <row r="8" spans="1:23" x14ac:dyDescent="0.25">
      <c r="F8" s="6">
        <v>1</v>
      </c>
      <c r="G8" s="6">
        <v>1100</v>
      </c>
      <c r="H8" s="8">
        <f>Q7</f>
        <v>2.9764974886639068</v>
      </c>
      <c r="I8" s="8">
        <f>I7-C$12</f>
        <v>303.31666666666666</v>
      </c>
      <c r="J8" s="8">
        <f t="shared" ref="J8:J18" si="4">1/(1+(98-0.27*I8)*H8/10000*1000000/98066.5)</f>
        <v>0.95339781875480145</v>
      </c>
      <c r="K8" s="8">
        <f t="shared" ref="K8:K18" si="5">C$14*H8/I8/J8*293.15*1000000/101325</f>
        <v>19.951850440929718</v>
      </c>
      <c r="L8" s="8">
        <f t="shared" ref="L8:L18" si="6">L$4*C$14/K8/(3.14159*C$16^2/4)</f>
        <v>5.4435353828823052</v>
      </c>
      <c r="M8" s="10">
        <f t="shared" si="1"/>
        <v>905071.69857647375</v>
      </c>
      <c r="N8" s="11">
        <f t="shared" si="2"/>
        <v>1.3276037236851865E-2</v>
      </c>
      <c r="O8" s="8">
        <f t="shared" ref="O8:O18" si="7">N8/2*K8*L8^2/C$16+K8*9.80665</f>
        <v>234.90576115375583</v>
      </c>
      <c r="P8" s="8">
        <f t="shared" ref="P8:P18" si="8">(O8*(G8-G9))/1000000</f>
        <v>2.3490576115375583E-2</v>
      </c>
      <c r="Q8" s="8">
        <f t="shared" si="3"/>
        <v>2.9530069125485312</v>
      </c>
      <c r="R8" s="1"/>
      <c r="T8" s="4"/>
      <c r="U8" s="4"/>
      <c r="W8" s="17">
        <f>W7/10.197</f>
        <v>2.7190067981269408</v>
      </c>
    </row>
    <row r="9" spans="1:23" x14ac:dyDescent="0.25">
      <c r="B9" s="6" t="s">
        <v>11</v>
      </c>
      <c r="C9" s="6">
        <f>32+273.15</f>
        <v>305.14999999999998</v>
      </c>
      <c r="D9" s="5" t="s">
        <v>36</v>
      </c>
      <c r="F9" s="6">
        <v>2</v>
      </c>
      <c r="G9" s="6">
        <v>1000</v>
      </c>
      <c r="H9" s="8">
        <f t="shared" ref="H9:H18" si="9">Q8</f>
        <v>2.9530069125485312</v>
      </c>
      <c r="I9" s="8">
        <f t="shared" ref="I9:I19" si="10">I8-C$12</f>
        <v>301.48333333333335</v>
      </c>
      <c r="J9" s="8">
        <f t="shared" si="4"/>
        <v>0.95239465215794494</v>
      </c>
      <c r="K9" s="8">
        <f t="shared" si="5"/>
        <v>19.935737012375043</v>
      </c>
      <c r="L9" s="8">
        <f t="shared" si="6"/>
        <v>5.4479352211437382</v>
      </c>
      <c r="M9" s="10">
        <f t="shared" si="1"/>
        <v>905071.69857647363</v>
      </c>
      <c r="N9" s="11">
        <f t="shared" si="2"/>
        <v>1.3276037236851865E-2</v>
      </c>
      <c r="O9" s="8">
        <f t="shared" si="7"/>
        <v>234.7794628546834</v>
      </c>
      <c r="P9" s="8">
        <f t="shared" si="8"/>
        <v>2.3477946285468339E-2</v>
      </c>
      <c r="Q9" s="8">
        <f t="shared" si="3"/>
        <v>2.9295289662630628</v>
      </c>
      <c r="R9" s="1"/>
      <c r="T9" s="20" t="s">
        <v>21</v>
      </c>
      <c r="U9" s="20">
        <f>1/(1+(98-0.27*C10)*U7/10000)</f>
        <v>0.94360102705171922</v>
      </c>
    </row>
    <row r="10" spans="1:23" x14ac:dyDescent="0.25">
      <c r="B10" s="6" t="s">
        <v>12</v>
      </c>
      <c r="C10" s="6">
        <f>10+273.15</f>
        <v>283.14999999999998</v>
      </c>
      <c r="D10" s="5" t="s">
        <v>36</v>
      </c>
      <c r="F10" s="6">
        <v>3</v>
      </c>
      <c r="G10" s="6">
        <v>900</v>
      </c>
      <c r="H10" s="8">
        <f t="shared" si="9"/>
        <v>2.9295289662630628</v>
      </c>
      <c r="I10" s="8">
        <f t="shared" si="10"/>
        <v>299.65000000000003</v>
      </c>
      <c r="J10" s="8">
        <f t="shared" si="4"/>
        <v>0.95141486049718349</v>
      </c>
      <c r="K10" s="8">
        <f t="shared" si="5"/>
        <v>19.918731284881634</v>
      </c>
      <c r="L10" s="8">
        <f t="shared" si="6"/>
        <v>5.4525864261049115</v>
      </c>
      <c r="M10" s="10">
        <f t="shared" si="1"/>
        <v>905071.69857647375</v>
      </c>
      <c r="N10" s="11">
        <f t="shared" si="2"/>
        <v>1.3276037236851865E-2</v>
      </c>
      <c r="O10" s="8">
        <f t="shared" si="7"/>
        <v>234.64622631022556</v>
      </c>
      <c r="P10" s="8">
        <f t="shared" si="8"/>
        <v>2.3464622631022558E-2</v>
      </c>
      <c r="Q10" s="8">
        <f t="shared" si="3"/>
        <v>2.9060643436320404</v>
      </c>
      <c r="R10" s="1"/>
      <c r="T10" s="20" t="s">
        <v>22</v>
      </c>
      <c r="U10" s="20">
        <f>(U9+J7)/2</f>
        <v>0.94901277812899332</v>
      </c>
    </row>
    <row r="11" spans="1:23" x14ac:dyDescent="0.25">
      <c r="B11" s="8" t="s">
        <v>13</v>
      </c>
      <c r="C11" s="8">
        <f>(C9+C10)/2</f>
        <v>294.14999999999998</v>
      </c>
      <c r="D11" s="5" t="s">
        <v>36</v>
      </c>
      <c r="F11" s="6">
        <v>4</v>
      </c>
      <c r="G11" s="6">
        <v>800</v>
      </c>
      <c r="H11" s="8">
        <f t="shared" si="9"/>
        <v>2.9060643436320404</v>
      </c>
      <c r="I11" s="8">
        <f t="shared" si="10"/>
        <v>297.81666666666672</v>
      </c>
      <c r="J11" s="8">
        <f t="shared" si="4"/>
        <v>0.95045827754731049</v>
      </c>
      <c r="K11" s="8">
        <f t="shared" si="5"/>
        <v>19.90083316539566</v>
      </c>
      <c r="L11" s="8">
        <f t="shared" si="6"/>
        <v>5.4574902933224774</v>
      </c>
      <c r="M11" s="10">
        <f t="shared" si="1"/>
        <v>905071.69857647375</v>
      </c>
      <c r="N11" s="11">
        <f t="shared" si="2"/>
        <v>1.3276037236851865E-2</v>
      </c>
      <c r="O11" s="8">
        <f t="shared" si="7"/>
        <v>234.50605994809888</v>
      </c>
      <c r="P11" s="8">
        <f t="shared" si="8"/>
        <v>2.3450605994809887E-2</v>
      </c>
      <c r="Q11" s="8">
        <f t="shared" si="3"/>
        <v>2.8826137376372305</v>
      </c>
      <c r="R11" s="1"/>
    </row>
    <row r="12" spans="1:23" x14ac:dyDescent="0.25">
      <c r="B12" s="8" t="s">
        <v>14</v>
      </c>
      <c r="C12" s="8">
        <f>(C9-C10)/F19</f>
        <v>1.8333333333333333</v>
      </c>
      <c r="D12" s="5" t="s">
        <v>36</v>
      </c>
      <c r="F12" s="6">
        <v>5</v>
      </c>
      <c r="G12" s="6">
        <v>700</v>
      </c>
      <c r="H12" s="8">
        <f t="shared" si="9"/>
        <v>2.8826137376372305</v>
      </c>
      <c r="I12" s="8">
        <f t="shared" si="10"/>
        <v>295.98333333333341</v>
      </c>
      <c r="J12" s="8">
        <f t="shared" si="4"/>
        <v>0.94952473972777152</v>
      </c>
      <c r="K12" s="8">
        <f t="shared" si="5"/>
        <v>19.882042566643413</v>
      </c>
      <c r="L12" s="8">
        <f t="shared" si="6"/>
        <v>5.4626481894466989</v>
      </c>
      <c r="M12" s="10">
        <f t="shared" si="1"/>
        <v>905071.69857647375</v>
      </c>
      <c r="N12" s="11">
        <f t="shared" si="2"/>
        <v>1.3276037236851865E-2</v>
      </c>
      <c r="O12" s="8">
        <f t="shared" si="7"/>
        <v>234.35897276525017</v>
      </c>
      <c r="P12" s="8">
        <f t="shared" si="8"/>
        <v>2.3435897276525019E-2</v>
      </c>
      <c r="Q12" s="8">
        <f t="shared" si="3"/>
        <v>2.8591778403607053</v>
      </c>
      <c r="R12" s="1"/>
    </row>
    <row r="13" spans="1:23" x14ac:dyDescent="0.25">
      <c r="F13" s="6">
        <v>6</v>
      </c>
      <c r="G13" s="6">
        <v>600</v>
      </c>
      <c r="H13" s="8">
        <f t="shared" si="9"/>
        <v>2.8591778403607053</v>
      </c>
      <c r="I13" s="8">
        <f t="shared" si="10"/>
        <v>294.15000000000009</v>
      </c>
      <c r="J13" s="8">
        <f t="shared" si="4"/>
        <v>0.9486140860549539</v>
      </c>
      <c r="K13" s="8">
        <f t="shared" si="5"/>
        <v>19.862359404714169</v>
      </c>
      <c r="L13" s="8">
        <f t="shared" si="6"/>
        <v>5.4680615538252457</v>
      </c>
      <c r="M13" s="10">
        <f t="shared" si="1"/>
        <v>905071.69857647375</v>
      </c>
      <c r="N13" s="11">
        <f t="shared" si="2"/>
        <v>1.3276037236851865E-2</v>
      </c>
      <c r="O13" s="8">
        <f t="shared" si="7"/>
        <v>234.20497431571485</v>
      </c>
      <c r="P13" s="8">
        <f t="shared" si="8"/>
        <v>2.3420497431571485E-2</v>
      </c>
      <c r="Q13" s="8">
        <f t="shared" si="3"/>
        <v>2.8357573429291341</v>
      </c>
      <c r="R13" s="1"/>
    </row>
    <row r="14" spans="1:23" x14ac:dyDescent="0.25">
      <c r="A14" t="s">
        <v>38</v>
      </c>
      <c r="B14" s="6" t="s">
        <v>15</v>
      </c>
      <c r="C14" s="6">
        <v>0.67</v>
      </c>
      <c r="D14" s="5" t="s">
        <v>37</v>
      </c>
      <c r="F14" s="6">
        <v>7</v>
      </c>
      <c r="G14" s="6">
        <v>500</v>
      </c>
      <c r="H14" s="8">
        <f t="shared" si="9"/>
        <v>2.8357573429291341</v>
      </c>
      <c r="I14" s="8">
        <f t="shared" si="10"/>
        <v>292.31666666666678</v>
      </c>
      <c r="J14" s="8">
        <f t="shared" si="4"/>
        <v>0.94772615809539207</v>
      </c>
      <c r="K14" s="8">
        <f t="shared" si="5"/>
        <v>19.841783596565556</v>
      </c>
      <c r="L14" s="8">
        <f t="shared" si="6"/>
        <v>5.4737319001894607</v>
      </c>
      <c r="M14" s="10">
        <f t="shared" si="1"/>
        <v>905071.69857647375</v>
      </c>
      <c r="N14" s="11">
        <f t="shared" si="2"/>
        <v>1.3276037236851865E-2</v>
      </c>
      <c r="O14" s="8">
        <f t="shared" si="7"/>
        <v>234.04407469831003</v>
      </c>
      <c r="P14" s="8">
        <f t="shared" si="8"/>
        <v>2.3404407469831003E-2</v>
      </c>
      <c r="Q14" s="8">
        <f t="shared" si="3"/>
        <v>2.8123529354593031</v>
      </c>
      <c r="R14" s="1"/>
    </row>
    <row r="15" spans="1:23" x14ac:dyDescent="0.25">
      <c r="B15" s="6" t="s">
        <v>16</v>
      </c>
      <c r="C15" s="6">
        <v>0.02</v>
      </c>
      <c r="F15" s="6">
        <v>8</v>
      </c>
      <c r="G15" s="6">
        <v>400</v>
      </c>
      <c r="H15" s="8">
        <f t="shared" si="9"/>
        <v>2.8123529354593031</v>
      </c>
      <c r="I15" s="8">
        <f t="shared" si="10"/>
        <v>290.48333333333346</v>
      </c>
      <c r="J15" s="8">
        <f t="shared" si="4"/>
        <v>0.94686079991986061</v>
      </c>
      <c r="K15" s="8">
        <f t="shared" si="5"/>
        <v>19.820315057448745</v>
      </c>
      <c r="L15" s="8">
        <f t="shared" si="6"/>
        <v>5.4796608184268116</v>
      </c>
      <c r="M15" s="10">
        <f t="shared" si="1"/>
        <v>905071.69857647375</v>
      </c>
      <c r="N15" s="11">
        <f t="shared" si="2"/>
        <v>1.3276037236851865E-2</v>
      </c>
      <c r="O15" s="8">
        <f t="shared" si="7"/>
        <v>233.87628454416262</v>
      </c>
      <c r="P15" s="8">
        <f t="shared" si="8"/>
        <v>2.3387628454416262E-2</v>
      </c>
      <c r="Q15" s="8">
        <f t="shared" si="3"/>
        <v>2.788965307004887</v>
      </c>
      <c r="R15" s="1"/>
    </row>
    <row r="16" spans="1:23" x14ac:dyDescent="0.25">
      <c r="B16" s="6" t="s">
        <v>17</v>
      </c>
      <c r="C16" s="6">
        <v>0.1</v>
      </c>
      <c r="D16" s="5" t="s">
        <v>39</v>
      </c>
      <c r="F16" s="6">
        <v>9</v>
      </c>
      <c r="G16" s="6">
        <v>300</v>
      </c>
      <c r="H16" s="8">
        <f t="shared" si="9"/>
        <v>2.788965307004887</v>
      </c>
      <c r="I16" s="8">
        <f t="shared" si="10"/>
        <v>288.65000000000015</v>
      </c>
      <c r="J16" s="8">
        <f t="shared" si="4"/>
        <v>0.94601785805833016</v>
      </c>
      <c r="K16" s="8">
        <f t="shared" si="5"/>
        <v>19.797953698250844</v>
      </c>
      <c r="L16" s="8">
        <f t="shared" si="6"/>
        <v>5.4858499764433963</v>
      </c>
      <c r="M16" s="10">
        <f t="shared" si="1"/>
        <v>905071.69857647375</v>
      </c>
      <c r="N16" s="11">
        <f t="shared" si="2"/>
        <v>1.3276037236851865E-2</v>
      </c>
      <c r="O16" s="8">
        <f t="shared" si="7"/>
        <v>233.70161500407494</v>
      </c>
      <c r="P16" s="8">
        <f t="shared" si="8"/>
        <v>2.3370161500407494E-2</v>
      </c>
      <c r="Q16" s="8">
        <f t="shared" si="3"/>
        <v>2.7655951455044794</v>
      </c>
      <c r="R16" s="1"/>
    </row>
    <row r="17" spans="2:18" x14ac:dyDescent="0.25">
      <c r="B17" s="6" t="s">
        <v>25</v>
      </c>
      <c r="C17" s="6">
        <v>1.2E-5</v>
      </c>
      <c r="D17" s="5" t="s">
        <v>40</v>
      </c>
      <c r="F17" s="6">
        <v>10</v>
      </c>
      <c r="G17" s="6">
        <v>200</v>
      </c>
      <c r="H17" s="8">
        <f t="shared" si="9"/>
        <v>2.7655951455044794</v>
      </c>
      <c r="I17" s="8">
        <f t="shared" si="10"/>
        <v>286.81666666666683</v>
      </c>
      <c r="J17" s="8">
        <f t="shared" si="4"/>
        <v>0.94519718145576015</v>
      </c>
      <c r="K17" s="8">
        <f t="shared" si="5"/>
        <v>19.774699422751386</v>
      </c>
      <c r="L17" s="8">
        <f t="shared" si="6"/>
        <v>5.4923011221206925</v>
      </c>
      <c r="M17" s="10">
        <f t="shared" si="1"/>
        <v>905071.69857647375</v>
      </c>
      <c r="N17" s="11">
        <f t="shared" si="2"/>
        <v>1.3276037236851865E-2</v>
      </c>
      <c r="O17" s="8">
        <f t="shared" si="7"/>
        <v>233.52007773572697</v>
      </c>
      <c r="P17" s="8">
        <f t="shared" si="8"/>
        <v>2.3352007773572696E-2</v>
      </c>
      <c r="Q17" s="8">
        <f t="shared" si="3"/>
        <v>2.7422431377309069</v>
      </c>
      <c r="R17" s="1"/>
    </row>
    <row r="18" spans="2:18" x14ac:dyDescent="0.25">
      <c r="B18" s="7" t="s">
        <v>26</v>
      </c>
      <c r="C18" s="6">
        <v>7.7999999999999996E-3</v>
      </c>
      <c r="D18" s="5" t="s">
        <v>27</v>
      </c>
      <c r="F18" s="6">
        <v>11</v>
      </c>
      <c r="G18" s="6">
        <v>100</v>
      </c>
      <c r="H18" s="8">
        <f t="shared" si="9"/>
        <v>2.7422431377309069</v>
      </c>
      <c r="I18" s="8">
        <f t="shared" si="10"/>
        <v>284.98333333333352</v>
      </c>
      <c r="J18" s="8">
        <f t="shared" si="4"/>
        <v>0.94439862142870135</v>
      </c>
      <c r="K18" s="8">
        <f t="shared" si="5"/>
        <v>19.750552124790044</v>
      </c>
      <c r="L18" s="8">
        <f t="shared" si="6"/>
        <v>5.4990160853708989</v>
      </c>
      <c r="M18" s="10">
        <f t="shared" si="1"/>
        <v>905071.69857647375</v>
      </c>
      <c r="N18" s="11">
        <f t="shared" si="2"/>
        <v>1.3276037236851865E-2</v>
      </c>
      <c r="O18" s="8">
        <f t="shared" si="7"/>
        <v>233.33168489071909</v>
      </c>
      <c r="P18" s="8">
        <f t="shared" si="8"/>
        <v>2.3333168489071909E-2</v>
      </c>
      <c r="Q18" s="16">
        <f t="shared" si="3"/>
        <v>2.7189099692418348</v>
      </c>
      <c r="R18" s="1"/>
    </row>
    <row r="19" spans="2:18" x14ac:dyDescent="0.25">
      <c r="B19" s="9" t="s">
        <v>28</v>
      </c>
      <c r="C19" s="8">
        <f>C18/C16/1000</f>
        <v>7.7999999999999985E-5</v>
      </c>
      <c r="E19" s="28" t="s">
        <v>71</v>
      </c>
      <c r="F19" s="6">
        <v>12</v>
      </c>
      <c r="G19" s="6">
        <v>0</v>
      </c>
      <c r="H19" s="16">
        <f>Q18</f>
        <v>2.7189099692418348</v>
      </c>
      <c r="I19" s="8">
        <f t="shared" si="10"/>
        <v>283.1500000000002</v>
      </c>
      <c r="J19" s="8">
        <f t="shared" ref="J19" si="11">1/(1+(98-0.27*I19)*H19/10000*1000000/98066.5)</f>
        <v>0.94362203162268476</v>
      </c>
      <c r="K19" s="8">
        <f t="shared" ref="K19" si="12">C$14*H19/I19/J19*293.15*1000000/101325</f>
        <v>19.725511685342219</v>
      </c>
      <c r="R19" s="1"/>
    </row>
    <row r="20" spans="2:18" x14ac:dyDescent="0.25">
      <c r="R20" s="1"/>
    </row>
    <row r="21" spans="2:18" x14ac:dyDescent="0.25">
      <c r="R21" s="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21"/>
  <sheetViews>
    <sheetView topLeftCell="A4" workbookViewId="0">
      <selection activeCell="H26" sqref="H26"/>
    </sheetView>
  </sheetViews>
  <sheetFormatPr defaultRowHeight="15" x14ac:dyDescent="0.25"/>
  <cols>
    <col min="3" max="3" width="12.42578125" customWidth="1"/>
    <col min="4" max="4" width="12.42578125" style="29" customWidth="1"/>
    <col min="12" max="12" width="9.140625" style="2"/>
    <col min="13" max="13" width="9.140625" style="3"/>
    <col min="19" max="19" width="5.7109375" customWidth="1"/>
    <col min="21" max="21" width="5.42578125" customWidth="1"/>
  </cols>
  <sheetData>
    <row r="2" spans="1:22" x14ac:dyDescent="0.25">
      <c r="F2" s="17" t="s">
        <v>49</v>
      </c>
      <c r="G2" s="16"/>
      <c r="H2" s="16"/>
      <c r="I2" s="16"/>
      <c r="R2" s="17" t="s">
        <v>50</v>
      </c>
      <c r="S2" s="17"/>
      <c r="T2" s="17"/>
      <c r="U2" s="16"/>
    </row>
    <row r="3" spans="1:22" x14ac:dyDescent="0.25">
      <c r="A3" s="5"/>
      <c r="B3" s="5"/>
      <c r="C3" s="5"/>
      <c r="D3" s="27"/>
      <c r="K3" s="22"/>
      <c r="S3" s="18" t="s">
        <v>51</v>
      </c>
      <c r="T3" s="18"/>
      <c r="U3" s="18" t="s">
        <v>52</v>
      </c>
      <c r="V3" s="18"/>
    </row>
    <row r="4" spans="1:22" ht="18.75" x14ac:dyDescent="0.35">
      <c r="J4" s="14" t="s">
        <v>47</v>
      </c>
      <c r="K4" s="12">
        <f>B6*1000/24/3600</f>
        <v>1.1574074074074074</v>
      </c>
      <c r="L4" s="15" t="s">
        <v>48</v>
      </c>
      <c r="S4" s="18">
        <v>1</v>
      </c>
      <c r="T4" s="18"/>
      <c r="U4" s="18">
        <v>2</v>
      </c>
      <c r="V4" s="18"/>
    </row>
    <row r="5" spans="1:22" ht="17.25" x14ac:dyDescent="0.25">
      <c r="E5" s="18"/>
      <c r="F5" s="19" t="s">
        <v>46</v>
      </c>
      <c r="G5" s="19" t="s">
        <v>24</v>
      </c>
      <c r="H5" s="19" t="s">
        <v>36</v>
      </c>
      <c r="I5" s="19"/>
      <c r="J5" s="19" t="s">
        <v>44</v>
      </c>
      <c r="K5" s="19" t="s">
        <v>45</v>
      </c>
      <c r="L5" s="30"/>
      <c r="M5" s="31"/>
      <c r="N5" s="19" t="s">
        <v>31</v>
      </c>
      <c r="O5" s="19" t="s">
        <v>24</v>
      </c>
      <c r="P5" s="19" t="s">
        <v>24</v>
      </c>
      <c r="S5" s="20" t="s">
        <v>19</v>
      </c>
      <c r="T5" s="20">
        <f>0.03419*B14/1.205*F7/I7/B11</f>
        <v>8.1038114182480331E-2</v>
      </c>
      <c r="U5" s="21" t="s">
        <v>20</v>
      </c>
      <c r="V5" s="21">
        <f>0.03419*B14/1.205*F7/T10/B11</f>
        <v>8.14101132368477E-2</v>
      </c>
    </row>
    <row r="6" spans="1:22" x14ac:dyDescent="0.25">
      <c r="A6" s="6" t="s">
        <v>5</v>
      </c>
      <c r="B6" s="6">
        <v>100</v>
      </c>
      <c r="C6" t="s">
        <v>34</v>
      </c>
      <c r="E6" s="32"/>
      <c r="F6" s="33" t="s">
        <v>6</v>
      </c>
      <c r="G6" s="34" t="s">
        <v>8</v>
      </c>
      <c r="H6" s="34" t="s">
        <v>4</v>
      </c>
      <c r="I6" s="34" t="s">
        <v>10</v>
      </c>
      <c r="J6" s="34" t="s">
        <v>2</v>
      </c>
      <c r="K6" s="34" t="s">
        <v>3</v>
      </c>
      <c r="L6" s="35" t="s">
        <v>23</v>
      </c>
      <c r="M6" s="36" t="s">
        <v>29</v>
      </c>
      <c r="N6" s="34" t="s">
        <v>30</v>
      </c>
      <c r="O6" s="34" t="s">
        <v>18</v>
      </c>
      <c r="P6" s="34" t="s">
        <v>8</v>
      </c>
      <c r="S6" s="20" t="s">
        <v>32</v>
      </c>
      <c r="T6" s="20">
        <f>EXP(-2*T5)</f>
        <v>0.8503763792685094</v>
      </c>
      <c r="U6" s="21"/>
      <c r="V6" s="21">
        <f>EXP(-2*V5)</f>
        <v>0.84974393614803678</v>
      </c>
    </row>
    <row r="7" spans="1:22" x14ac:dyDescent="0.25">
      <c r="A7" s="6" t="s">
        <v>9</v>
      </c>
      <c r="B7" s="6">
        <v>3</v>
      </c>
      <c r="C7" t="s">
        <v>35</v>
      </c>
      <c r="D7" s="28" t="s">
        <v>70</v>
      </c>
      <c r="E7" s="6"/>
      <c r="F7" s="6">
        <v>1200</v>
      </c>
      <c r="G7" s="6">
        <f>B7</f>
        <v>3</v>
      </c>
      <c r="H7" s="6">
        <f>B9</f>
        <v>305.14999999999998</v>
      </c>
      <c r="I7" s="8">
        <f>1/(1+(98-0.27*H7)*G7/10000*1000000/98066.5)</f>
        <v>0.95442452920626741</v>
      </c>
      <c r="J7" s="8">
        <f>B$14*G7/H7/I7*293.15*1000000/101325</f>
        <v>19.913428792603597</v>
      </c>
      <c r="K7" s="8">
        <f>K$4*B$14/J7/(3.14159*B$16^2/4)</f>
        <v>8.5611081675472214</v>
      </c>
      <c r="L7" s="10">
        <f t="shared" ref="L7:L18" si="0">K7*J7*B$16/B$17</f>
        <v>1079713.1132414481</v>
      </c>
      <c r="M7" s="11">
        <f t="shared" ref="M7:M18" si="1">(-2*LOG10(B$19/3.7-5.02/L7*LOG10(B$19/3.7+13/L7)))^(-2)</f>
        <v>1.341467862506269E-2</v>
      </c>
      <c r="N7" s="8">
        <f>M7/2*J7*K7^2/B$16+J7*9.80665</f>
        <v>324.09198548993879</v>
      </c>
      <c r="O7" s="8">
        <f>(N7*(F7-F8))/1000000</f>
        <v>3.2409198548993878E-2</v>
      </c>
      <c r="P7" s="8">
        <f t="shared" ref="P7:P18" si="2">G7-O7</f>
        <v>2.967590801451006</v>
      </c>
      <c r="Q7" s="1"/>
      <c r="S7" s="20" t="s">
        <v>33</v>
      </c>
      <c r="T7" s="20">
        <f>((G7*10.197)^2*T6+1.377*M7*I7^2*B11^2/(B16*100)^5*(T6-1)*B6^2)^0.5</f>
        <v>26.64348781408339</v>
      </c>
      <c r="U7" s="21"/>
      <c r="V7" s="21">
        <f>((G7*10.197)^2*V6+1.377*M7*T10^2*B11^2/(B16*100)^5*(V6-1)*B6^2)^0.5</f>
        <v>26.640328951958654</v>
      </c>
    </row>
    <row r="8" spans="1:22" x14ac:dyDescent="0.25">
      <c r="E8" s="6">
        <v>1</v>
      </c>
      <c r="F8" s="6">
        <v>1100</v>
      </c>
      <c r="G8" s="8">
        <f>P7</f>
        <v>2.967590801451006</v>
      </c>
      <c r="H8" s="8">
        <f>H7-B$12</f>
        <v>303.31666666666666</v>
      </c>
      <c r="I8" s="8">
        <f t="shared" ref="I8:I19" si="3">1/(1+(98-0.27*H8)*G8/10000*1000000/98066.5)</f>
        <v>0.95353078813530756</v>
      </c>
      <c r="J8" s="8">
        <f t="shared" ref="J8:J19" si="4">B$14*G8/H8/I8*293.15*1000000/101325</f>
        <v>19.835939667778927</v>
      </c>
      <c r="K8" s="8">
        <f t="shared" ref="K8:K18" si="5">K$4*B$14/J8/(3.14159*B$16^2/4)</f>
        <v>8.5945521480464233</v>
      </c>
      <c r="L8" s="10">
        <f t="shared" si="0"/>
        <v>1079713.1132414478</v>
      </c>
      <c r="M8" s="11">
        <f t="shared" si="1"/>
        <v>1.341467862506269E-2</v>
      </c>
      <c r="N8" s="8">
        <f t="shared" ref="N8:N18" si="6">M8/2*J8*K8^2/B$16+J8*9.80665</f>
        <v>323.8352652280555</v>
      </c>
      <c r="O8" s="8">
        <f t="shared" ref="O8:O18" si="7">(N8*(F8-F9))/1000000</f>
        <v>3.2383526522805552E-2</v>
      </c>
      <c r="P8" s="8">
        <f t="shared" si="2"/>
        <v>2.9352072749282003</v>
      </c>
      <c r="Q8" s="1"/>
      <c r="S8" s="4"/>
      <c r="T8" s="4"/>
      <c r="V8" s="16">
        <f>V7/10.197</f>
        <v>2.6125653576501575</v>
      </c>
    </row>
    <row r="9" spans="1:22" x14ac:dyDescent="0.25">
      <c r="A9" s="6" t="s">
        <v>11</v>
      </c>
      <c r="B9" s="6">
        <f>32+273.15</f>
        <v>305.14999999999998</v>
      </c>
      <c r="E9" s="6">
        <v>2</v>
      </c>
      <c r="F9" s="6">
        <v>1000</v>
      </c>
      <c r="G9" s="8">
        <f t="shared" ref="G9:G18" si="8">P8</f>
        <v>2.9352072749282003</v>
      </c>
      <c r="H9" s="8">
        <f t="shared" ref="H9:H19" si="9">H8-B$12</f>
        <v>301.48333333333335</v>
      </c>
      <c r="I9" s="8">
        <f t="shared" si="3"/>
        <v>0.95266801786056088</v>
      </c>
      <c r="J9" s="8">
        <f t="shared" si="4"/>
        <v>19.756665117911474</v>
      </c>
      <c r="K9" s="8">
        <f t="shared" si="5"/>
        <v>8.6290381935800404</v>
      </c>
      <c r="L9" s="10">
        <f t="shared" si="0"/>
        <v>1079713.1132414478</v>
      </c>
      <c r="M9" s="11">
        <f t="shared" si="1"/>
        <v>1.341467862506269E-2</v>
      </c>
      <c r="N9" s="8">
        <f t="shared" si="6"/>
        <v>323.57671453698998</v>
      </c>
      <c r="O9" s="8">
        <f t="shared" si="7"/>
        <v>3.2357671453699E-2</v>
      </c>
      <c r="P9" s="8">
        <f t="shared" si="2"/>
        <v>2.9028496034745013</v>
      </c>
      <c r="Q9" s="1"/>
      <c r="S9" s="20" t="s">
        <v>21</v>
      </c>
      <c r="T9" s="20">
        <f>1/(1+(98-0.27*B10)*T7/10000)</f>
        <v>0.94570214796361252</v>
      </c>
    </row>
    <row r="10" spans="1:22" x14ac:dyDescent="0.25">
      <c r="A10" s="6" t="s">
        <v>12</v>
      </c>
      <c r="B10" s="6">
        <f>10+273.15</f>
        <v>283.14999999999998</v>
      </c>
      <c r="E10" s="6">
        <v>3</v>
      </c>
      <c r="F10" s="6">
        <v>900</v>
      </c>
      <c r="G10" s="8">
        <f t="shared" si="8"/>
        <v>2.9028496034745013</v>
      </c>
      <c r="H10" s="8">
        <f t="shared" si="9"/>
        <v>299.65000000000003</v>
      </c>
      <c r="I10" s="8">
        <f t="shared" si="3"/>
        <v>0.95183601674163287</v>
      </c>
      <c r="J10" s="8">
        <f t="shared" si="4"/>
        <v>19.675595106599523</v>
      </c>
      <c r="K10" s="8">
        <f t="shared" si="5"/>
        <v>8.6645927076963716</v>
      </c>
      <c r="L10" s="10">
        <f t="shared" si="0"/>
        <v>1079713.1132414481</v>
      </c>
      <c r="M10" s="11">
        <f t="shared" si="1"/>
        <v>1.341467862506269E-2</v>
      </c>
      <c r="N10" s="8">
        <f t="shared" si="6"/>
        <v>323.31663225341953</v>
      </c>
      <c r="O10" s="8">
        <f t="shared" si="7"/>
        <v>3.233166322534195E-2</v>
      </c>
      <c r="P10" s="8">
        <f t="shared" si="2"/>
        <v>2.8705179402491594</v>
      </c>
      <c r="Q10" s="1"/>
      <c r="S10" s="20" t="s">
        <v>22</v>
      </c>
      <c r="T10" s="20">
        <f>(T9+I7)/2</f>
        <v>0.95006333858493996</v>
      </c>
    </row>
    <row r="11" spans="1:22" x14ac:dyDescent="0.25">
      <c r="A11" s="8" t="s">
        <v>13</v>
      </c>
      <c r="B11" s="8">
        <f>(B9+B10)/2</f>
        <v>294.14999999999998</v>
      </c>
      <c r="E11" s="6">
        <v>4</v>
      </c>
      <c r="F11" s="6">
        <v>800</v>
      </c>
      <c r="G11" s="8">
        <f t="shared" si="8"/>
        <v>2.8705179402491594</v>
      </c>
      <c r="H11" s="8">
        <f t="shared" si="9"/>
        <v>297.81666666666672</v>
      </c>
      <c r="I11" s="8">
        <f t="shared" si="3"/>
        <v>0.95103458980118627</v>
      </c>
      <c r="J11" s="8">
        <f t="shared" si="4"/>
        <v>19.592719079850976</v>
      </c>
      <c r="K11" s="8">
        <f t="shared" si="5"/>
        <v>8.7012434152414411</v>
      </c>
      <c r="L11" s="10">
        <f t="shared" si="0"/>
        <v>1079713.1132414481</v>
      </c>
      <c r="M11" s="11">
        <f t="shared" si="1"/>
        <v>1.341467862506269E-2</v>
      </c>
      <c r="N11" s="8">
        <f t="shared" si="6"/>
        <v>323.05533201805719</v>
      </c>
      <c r="O11" s="8">
        <f t="shared" si="7"/>
        <v>3.2305533201805722E-2</v>
      </c>
      <c r="P11" s="8">
        <f t="shared" si="2"/>
        <v>2.8382124070473536</v>
      </c>
      <c r="Q11" s="1"/>
    </row>
    <row r="12" spans="1:22" x14ac:dyDescent="0.25">
      <c r="A12" s="8" t="s">
        <v>14</v>
      </c>
      <c r="B12" s="8">
        <f>(B9-B10)/E19</f>
        <v>1.8333333333333333</v>
      </c>
      <c r="E12" s="6">
        <v>5</v>
      </c>
      <c r="F12" s="6">
        <v>700</v>
      </c>
      <c r="G12" s="8">
        <f t="shared" si="8"/>
        <v>2.8382124070473536</v>
      </c>
      <c r="H12" s="8">
        <f t="shared" si="9"/>
        <v>295.98333333333341</v>
      </c>
      <c r="I12" s="8">
        <f t="shared" si="3"/>
        <v>0.95026354871608321</v>
      </c>
      <c r="J12" s="8">
        <f t="shared" si="4"/>
        <v>19.508025937003008</v>
      </c>
      <c r="K12" s="8">
        <f t="shared" si="5"/>
        <v>8.7390194390124645</v>
      </c>
      <c r="L12" s="10">
        <f t="shared" si="0"/>
        <v>1079713.1132414481</v>
      </c>
      <c r="M12" s="11">
        <f t="shared" si="1"/>
        <v>1.341467862506269E-2</v>
      </c>
      <c r="N12" s="8">
        <f t="shared" si="6"/>
        <v>322.79314314377734</v>
      </c>
      <c r="O12" s="8">
        <f t="shared" si="7"/>
        <v>3.2279314314377736E-2</v>
      </c>
      <c r="P12" s="8">
        <f t="shared" si="2"/>
        <v>2.805933092732976</v>
      </c>
      <c r="Q12" s="1"/>
    </row>
    <row r="13" spans="1:22" x14ac:dyDescent="0.25">
      <c r="E13" s="6">
        <v>6</v>
      </c>
      <c r="F13" s="6">
        <v>600</v>
      </c>
      <c r="G13" s="8">
        <f t="shared" si="8"/>
        <v>2.805933092732976</v>
      </c>
      <c r="H13" s="8">
        <f t="shared" si="9"/>
        <v>294.15000000000009</v>
      </c>
      <c r="I13" s="8">
        <f t="shared" si="3"/>
        <v>0.94952271181693804</v>
      </c>
      <c r="J13" s="8">
        <f t="shared" si="4"/>
        <v>19.421504000018313</v>
      </c>
      <c r="K13" s="8">
        <f t="shared" si="5"/>
        <v>8.7779513821415627</v>
      </c>
      <c r="L13" s="10">
        <f t="shared" si="0"/>
        <v>1079713.1132414481</v>
      </c>
      <c r="M13" s="11">
        <f t="shared" si="1"/>
        <v>1.341467862506269E-2</v>
      </c>
      <c r="N13" s="8">
        <f t="shared" si="6"/>
        <v>322.53041155403599</v>
      </c>
      <c r="O13" s="8">
        <f t="shared" si="7"/>
        <v>3.2253041155403603E-2</v>
      </c>
      <c r="P13" s="8">
        <f t="shared" si="2"/>
        <v>2.7736800515775726</v>
      </c>
      <c r="Q13" s="1"/>
    </row>
    <row r="14" spans="1:22" x14ac:dyDescent="0.25">
      <c r="A14" s="6" t="s">
        <v>15</v>
      </c>
      <c r="B14" s="6">
        <v>0.66820000000000002</v>
      </c>
      <c r="E14" s="6">
        <v>7</v>
      </c>
      <c r="F14" s="6">
        <v>500</v>
      </c>
      <c r="G14" s="8">
        <f t="shared" si="8"/>
        <v>2.7736800515775726</v>
      </c>
      <c r="H14" s="8">
        <f t="shared" si="9"/>
        <v>292.31666666666678</v>
      </c>
      <c r="I14" s="8">
        <f t="shared" si="3"/>
        <v>0.94881190409645699</v>
      </c>
      <c r="J14" s="8">
        <f t="shared" si="4"/>
        <v>19.333140981041463</v>
      </c>
      <c r="K14" s="8">
        <f t="shared" si="5"/>
        <v>8.8180714167142504</v>
      </c>
      <c r="L14" s="10">
        <f t="shared" si="0"/>
        <v>1079713.1132414478</v>
      </c>
      <c r="M14" s="11">
        <f t="shared" si="1"/>
        <v>1.341467862506269E-2</v>
      </c>
      <c r="N14" s="8">
        <f t="shared" si="6"/>
        <v>322.26750079803531</v>
      </c>
      <c r="O14" s="8">
        <f t="shared" si="7"/>
        <v>3.222675007980353E-2</v>
      </c>
      <c r="P14" s="8">
        <f t="shared" si="2"/>
        <v>2.7414533014977689</v>
      </c>
      <c r="Q14" s="1"/>
    </row>
    <row r="15" spans="1:22" x14ac:dyDescent="0.25">
      <c r="A15" s="6" t="s">
        <v>16</v>
      </c>
      <c r="B15" s="6">
        <v>0.02</v>
      </c>
      <c r="E15" s="6">
        <v>8</v>
      </c>
      <c r="F15" s="6">
        <v>400</v>
      </c>
      <c r="G15" s="8">
        <f t="shared" si="8"/>
        <v>2.7414533014977689</v>
      </c>
      <c r="H15" s="8">
        <f t="shared" si="9"/>
        <v>290.48333333333346</v>
      </c>
      <c r="I15" s="8">
        <f t="shared" si="3"/>
        <v>0.94813095722697749</v>
      </c>
      <c r="J15" s="8">
        <f t="shared" si="4"/>
        <v>19.242923948088787</v>
      </c>
      <c r="K15" s="8">
        <f t="shared" si="5"/>
        <v>8.8594133791793563</v>
      </c>
      <c r="L15" s="10">
        <f t="shared" si="0"/>
        <v>1079713.1132414481</v>
      </c>
      <c r="M15" s="11">
        <f t="shared" si="1"/>
        <v>1.341467862506269E-2</v>
      </c>
      <c r="N15" s="8">
        <f t="shared" si="6"/>
        <v>322.0047931497669</v>
      </c>
      <c r="O15" s="8">
        <f t="shared" si="7"/>
        <v>3.2200479314976688E-2</v>
      </c>
      <c r="P15" s="8">
        <f t="shared" si="2"/>
        <v>2.7092528221827923</v>
      </c>
      <c r="Q15" s="1"/>
    </row>
    <row r="16" spans="1:22" x14ac:dyDescent="0.25">
      <c r="A16" s="6" t="s">
        <v>17</v>
      </c>
      <c r="B16" s="6">
        <v>7.5999999999999998E-2</v>
      </c>
      <c r="E16" s="6">
        <v>9</v>
      </c>
      <c r="F16" s="6">
        <v>300</v>
      </c>
      <c r="G16" s="8">
        <f t="shared" si="8"/>
        <v>2.7092528221827923</v>
      </c>
      <c r="H16" s="8">
        <f t="shared" si="9"/>
        <v>288.65000000000015</v>
      </c>
      <c r="I16" s="8">
        <f t="shared" si="3"/>
        <v>0.94747970958767413</v>
      </c>
      <c r="J16" s="8">
        <f t="shared" si="4"/>
        <v>19.150839288733547</v>
      </c>
      <c r="K16" s="8">
        <f t="shared" si="5"/>
        <v>8.9020128731654466</v>
      </c>
      <c r="L16" s="10">
        <f t="shared" si="0"/>
        <v>1079713.1132414481</v>
      </c>
      <c r="M16" s="11">
        <f t="shared" si="1"/>
        <v>1.341467862506269E-2</v>
      </c>
      <c r="N16" s="8">
        <f t="shared" si="6"/>
        <v>321.74269079883061</v>
      </c>
      <c r="O16" s="8">
        <f t="shared" si="7"/>
        <v>3.2174269079883057E-2</v>
      </c>
      <c r="P16" s="8">
        <f t="shared" si="2"/>
        <v>2.6770785531029091</v>
      </c>
      <c r="Q16" s="1"/>
    </row>
    <row r="17" spans="1:17" x14ac:dyDescent="0.25">
      <c r="A17" s="6" t="s">
        <v>25</v>
      </c>
      <c r="B17" s="6">
        <v>1.2E-5</v>
      </c>
      <c r="E17" s="6">
        <v>10</v>
      </c>
      <c r="F17" s="6">
        <v>200</v>
      </c>
      <c r="G17" s="8">
        <f t="shared" si="8"/>
        <v>2.6770785531029091</v>
      </c>
      <c r="H17" s="8">
        <f t="shared" si="9"/>
        <v>286.81666666666683</v>
      </c>
      <c r="I17" s="8">
        <f t="shared" si="3"/>
        <v>0.94685800630194206</v>
      </c>
      <c r="J17" s="8">
        <f t="shared" si="4"/>
        <v>19.056872671636352</v>
      </c>
      <c r="K17" s="8">
        <f t="shared" si="5"/>
        <v>8.9459073803839377</v>
      </c>
      <c r="L17" s="10">
        <f t="shared" si="0"/>
        <v>1079713.1132414478</v>
      </c>
      <c r="M17" s="11">
        <f t="shared" si="1"/>
        <v>1.341467862506269E-2</v>
      </c>
      <c r="N17" s="8">
        <f t="shared" si="6"/>
        <v>321.48161714179361</v>
      </c>
      <c r="O17" s="8">
        <f t="shared" si="7"/>
        <v>3.2148161714179363E-2</v>
      </c>
      <c r="P17" s="8">
        <f t="shared" si="2"/>
        <v>2.6449303913887299</v>
      </c>
      <c r="Q17" s="1"/>
    </row>
    <row r="18" spans="1:17" x14ac:dyDescent="0.25">
      <c r="A18" s="7" t="s">
        <v>26</v>
      </c>
      <c r="B18" s="6">
        <v>7.7999999999999996E-3</v>
      </c>
      <c r="C18" t="s">
        <v>27</v>
      </c>
      <c r="E18" s="6">
        <v>11</v>
      </c>
      <c r="F18" s="6">
        <v>100</v>
      </c>
      <c r="G18" s="8">
        <f t="shared" si="8"/>
        <v>2.6449303913887299</v>
      </c>
      <c r="H18" s="8">
        <f t="shared" si="9"/>
        <v>284.98333333333352</v>
      </c>
      <c r="I18" s="8">
        <f t="shared" si="3"/>
        <v>0.94626569928553927</v>
      </c>
      <c r="J18" s="8">
        <f t="shared" si="4"/>
        <v>18.961009005756399</v>
      </c>
      <c r="K18" s="8">
        <f t="shared" si="5"/>
        <v>8.9911363803725877</v>
      </c>
      <c r="L18" s="10">
        <f t="shared" si="0"/>
        <v>1079713.1132414478</v>
      </c>
      <c r="M18" s="11">
        <f t="shared" si="1"/>
        <v>1.341467862506269E-2</v>
      </c>
      <c r="N18" s="8">
        <f t="shared" si="6"/>
        <v>321.22201818381461</v>
      </c>
      <c r="O18" s="8">
        <f t="shared" si="7"/>
        <v>3.2122201818381463E-2</v>
      </c>
      <c r="P18" s="16">
        <f t="shared" si="2"/>
        <v>2.6128081895703485</v>
      </c>
      <c r="Q18" s="1"/>
    </row>
    <row r="19" spans="1:17" x14ac:dyDescent="0.25">
      <c r="A19" s="9" t="s">
        <v>28</v>
      </c>
      <c r="B19" s="8">
        <f>B18/B16/1000</f>
        <v>1.0263157894736843E-4</v>
      </c>
      <c r="D19" s="28" t="s">
        <v>71</v>
      </c>
      <c r="E19" s="6">
        <v>12</v>
      </c>
      <c r="F19" s="6">
        <v>0</v>
      </c>
      <c r="G19" s="16">
        <f>P18</f>
        <v>2.6128081895703485</v>
      </c>
      <c r="H19" s="8">
        <f t="shared" si="9"/>
        <v>283.1500000000002</v>
      </c>
      <c r="I19" s="8">
        <f t="shared" si="3"/>
        <v>0.94570264730612041</v>
      </c>
      <c r="J19" s="8">
        <f t="shared" si="4"/>
        <v>18.863232397064408</v>
      </c>
      <c r="Q19" s="1"/>
    </row>
    <row r="20" spans="1:17" x14ac:dyDescent="0.25">
      <c r="Q20" s="1"/>
    </row>
    <row r="21" spans="1:17" x14ac:dyDescent="0.25">
      <c r="Q21" s="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20F9-B18D-4A0E-92DE-9D4DE2F977F5}">
  <dimension ref="A2:M12"/>
  <sheetViews>
    <sheetView workbookViewId="0">
      <selection activeCell="G18" sqref="G18"/>
    </sheetView>
  </sheetViews>
  <sheetFormatPr defaultRowHeight="15" x14ac:dyDescent="0.25"/>
  <cols>
    <col min="3" max="3" width="12.5703125" customWidth="1"/>
    <col min="4" max="6" width="9.140625" style="2"/>
    <col min="7" max="7" width="9.140625" style="23"/>
    <col min="8" max="8" width="11" style="24" bestFit="1" customWidth="1"/>
  </cols>
  <sheetData>
    <row r="2" spans="1:13" ht="15.75" x14ac:dyDescent="0.25">
      <c r="G2" s="23" t="s">
        <v>53</v>
      </c>
      <c r="H2" s="24">
        <v>760</v>
      </c>
      <c r="L2" s="25">
        <v>13595</v>
      </c>
      <c r="M2" t="s">
        <v>55</v>
      </c>
    </row>
    <row r="3" spans="1:13" x14ac:dyDescent="0.25">
      <c r="H3" s="24" t="s">
        <v>54</v>
      </c>
    </row>
    <row r="4" spans="1:13" x14ac:dyDescent="0.25">
      <c r="E4" s="2">
        <v>1000000</v>
      </c>
      <c r="G4" s="23">
        <v>98066.5</v>
      </c>
      <c r="H4" s="2">
        <v>101325</v>
      </c>
      <c r="I4">
        <f>H4/G4</f>
        <v>1.0332274527998857</v>
      </c>
      <c r="J4">
        <f>G4/H4</f>
        <v>0.96784110535405876</v>
      </c>
    </row>
    <row r="5" spans="1:13" x14ac:dyDescent="0.25">
      <c r="G5" s="24">
        <f>E4/G4</f>
        <v>10.197162129779283</v>
      </c>
      <c r="H5" s="24">
        <f>E4/H4</f>
        <v>9.8692326671601283</v>
      </c>
      <c r="I5">
        <f>(H4-G4)/G4</f>
        <v>3.3227452799885794E-2</v>
      </c>
      <c r="J5">
        <f>(H4-G4)/H4</f>
        <v>3.215889464594128E-2</v>
      </c>
    </row>
    <row r="6" spans="1:13" x14ac:dyDescent="0.25">
      <c r="L6">
        <f>0.76*L2</f>
        <v>10332.200000000001</v>
      </c>
      <c r="M6" t="s">
        <v>56</v>
      </c>
    </row>
    <row r="7" spans="1:13" x14ac:dyDescent="0.25">
      <c r="A7" t="s">
        <v>68</v>
      </c>
      <c r="C7" s="2">
        <v>13595</v>
      </c>
      <c r="D7" t="s">
        <v>69</v>
      </c>
      <c r="L7">
        <f>L6/10000</f>
        <v>1.03322</v>
      </c>
      <c r="M7" t="s">
        <v>53</v>
      </c>
    </row>
    <row r="8" spans="1:13" x14ac:dyDescent="0.25">
      <c r="L8">
        <f>L7*9.80665</f>
        <v>10.132426913</v>
      </c>
    </row>
    <row r="9" spans="1:13" x14ac:dyDescent="0.25">
      <c r="L9">
        <f>L2*9.80665*0.76</f>
        <v>101324.26913</v>
      </c>
    </row>
    <row r="10" spans="1:13" ht="17.25" x14ac:dyDescent="0.25">
      <c r="C10" t="s">
        <v>57</v>
      </c>
      <c r="D10" s="2">
        <v>1000000</v>
      </c>
      <c r="E10" s="2" t="s">
        <v>58</v>
      </c>
      <c r="F10" s="23" t="s">
        <v>63</v>
      </c>
    </row>
    <row r="11" spans="1:13" x14ac:dyDescent="0.25">
      <c r="A11" t="s">
        <v>60</v>
      </c>
      <c r="B11" t="s">
        <v>61</v>
      </c>
      <c r="C11" t="s">
        <v>59</v>
      </c>
      <c r="D11" s="23">
        <f>G11*10000</f>
        <v>98066.5</v>
      </c>
      <c r="E11" s="2" t="s">
        <v>58</v>
      </c>
      <c r="F11" s="2" t="s">
        <v>64</v>
      </c>
      <c r="G11" s="26">
        <v>9.8066499999999994</v>
      </c>
      <c r="H11" s="24" t="s">
        <v>62</v>
      </c>
    </row>
    <row r="12" spans="1:13" x14ac:dyDescent="0.25">
      <c r="A12" t="s">
        <v>65</v>
      </c>
      <c r="B12" t="s">
        <v>67</v>
      </c>
      <c r="C12" t="s">
        <v>66</v>
      </c>
      <c r="D12" s="23">
        <f>0.76*C7*G11</f>
        <v>101324.26913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F7B3-77CE-4C3D-B4E1-874622FFFD3A}">
  <dimension ref="A1:AB37"/>
  <sheetViews>
    <sheetView workbookViewId="0">
      <selection activeCell="C8" sqref="C8"/>
    </sheetView>
  </sheetViews>
  <sheetFormatPr defaultRowHeight="15" x14ac:dyDescent="0.25"/>
  <cols>
    <col min="1" max="1" width="11.42578125" customWidth="1"/>
    <col min="4" max="4" width="18.28515625" style="5" customWidth="1"/>
    <col min="5" max="5" width="12.140625" style="27" customWidth="1"/>
    <col min="6" max="6" width="6" customWidth="1"/>
    <col min="19" max="19" width="7.28515625" customWidth="1"/>
    <col min="22" max="22" width="9.140625" style="46"/>
    <col min="25" max="25" width="5.42578125" customWidth="1"/>
    <col min="27" max="27" width="4.7109375" customWidth="1"/>
  </cols>
  <sheetData>
    <row r="1" spans="1:28" x14ac:dyDescent="0.25">
      <c r="C1" s="17" t="s">
        <v>109</v>
      </c>
      <c r="D1" s="16"/>
      <c r="E1" s="16"/>
      <c r="F1" s="16"/>
      <c r="H1" s="8" t="s">
        <v>107</v>
      </c>
      <c r="I1" s="8">
        <f>3.1934*C20*100-16.666</f>
        <v>15.268000000000001</v>
      </c>
      <c r="J1" s="8"/>
      <c r="K1" s="8" t="s">
        <v>114</v>
      </c>
      <c r="L1" s="8">
        <f>0.119445/(C20*100)^(8/3)+0.000236</f>
        <v>4.9333645155085815E-4</v>
      </c>
    </row>
    <row r="2" spans="1:28" x14ac:dyDescent="0.25">
      <c r="H2" s="8" t="s">
        <v>110</v>
      </c>
      <c r="I2" s="8">
        <f>6.1343/C20/100</f>
        <v>0.61342999999999992</v>
      </c>
      <c r="J2" s="8"/>
      <c r="K2" s="8" t="s">
        <v>115</v>
      </c>
      <c r="L2" s="8">
        <f>0.3553/C20/C20/10000+0.0014</f>
        <v>4.9529999999999991E-3</v>
      </c>
    </row>
    <row r="3" spans="1:28" x14ac:dyDescent="0.25">
      <c r="C3">
        <v>1</v>
      </c>
      <c r="H3" s="8" t="s">
        <v>111</v>
      </c>
      <c r="I3" s="8">
        <f>0.0022/(C20*100)^2+0.1364/C20/100</f>
        <v>1.3661999999999999E-2</v>
      </c>
      <c r="J3" s="8"/>
      <c r="K3" s="8" t="s">
        <v>116</v>
      </c>
      <c r="L3" s="8">
        <f>L1*C$25^(2/3)+L2</f>
        <v>3.4279765600393822E-2</v>
      </c>
    </row>
    <row r="4" spans="1:28" x14ac:dyDescent="0.25">
      <c r="C4">
        <v>5.0000000000000001E-3</v>
      </c>
      <c r="H4" s="8" t="s">
        <v>112</v>
      </c>
      <c r="I4" s="8">
        <f>12/C20/C20/10000+4.1273/C20/100+0.9956</f>
        <v>1.52833</v>
      </c>
      <c r="J4" s="8"/>
      <c r="K4" s="8" t="s">
        <v>117</v>
      </c>
      <c r="L4" s="8">
        <f>I1*L3+I2</f>
        <v>1.1368134611868128</v>
      </c>
    </row>
    <row r="5" spans="1:28" x14ac:dyDescent="0.25">
      <c r="C5">
        <v>25</v>
      </c>
      <c r="H5" s="8" t="s">
        <v>113</v>
      </c>
      <c r="I5" s="8">
        <f>0.5213/C20/100+0.0659</f>
        <v>0.11803</v>
      </c>
      <c r="J5" s="8"/>
      <c r="K5" s="8" t="s">
        <v>118</v>
      </c>
      <c r="L5" s="8">
        <f>L4-I5</f>
        <v>1.0187834611868127</v>
      </c>
    </row>
    <row r="6" spans="1:28" x14ac:dyDescent="0.25">
      <c r="X6" s="17" t="s">
        <v>50</v>
      </c>
      <c r="Y6" s="17"/>
      <c r="Z6" s="17"/>
      <c r="AA6" s="16"/>
    </row>
    <row r="7" spans="1:28" x14ac:dyDescent="0.25">
      <c r="B7" s="6" t="s">
        <v>7</v>
      </c>
      <c r="C7" s="6">
        <f>C5/10.197</f>
        <v>2.4517014808276945</v>
      </c>
      <c r="D7" s="5" t="s">
        <v>24</v>
      </c>
      <c r="Y7" s="18" t="s">
        <v>51</v>
      </c>
      <c r="Z7" s="18"/>
      <c r="AA7" s="18" t="s">
        <v>52</v>
      </c>
      <c r="AB7" s="18"/>
    </row>
    <row r="8" spans="1:28" ht="18.75" x14ac:dyDescent="0.35">
      <c r="A8" s="5"/>
      <c r="B8" s="6" t="s">
        <v>0</v>
      </c>
      <c r="C8" s="6">
        <f>C3/10.197^2</f>
        <v>9.6173442417483365E-3</v>
      </c>
      <c r="D8" s="5" t="s">
        <v>41</v>
      </c>
      <c r="K8" s="14" t="s">
        <v>47</v>
      </c>
      <c r="L8" s="12">
        <f>C10*1000/24/3600</f>
        <v>1.2731481481481481</v>
      </c>
      <c r="M8" s="15" t="s">
        <v>48</v>
      </c>
      <c r="N8" s="88"/>
      <c r="O8" s="88"/>
      <c r="P8" s="88"/>
      <c r="Q8" s="88"/>
      <c r="R8" s="88"/>
      <c r="S8" s="5"/>
      <c r="Y8" s="19">
        <v>1</v>
      </c>
      <c r="Z8" s="19"/>
      <c r="AA8" s="19">
        <v>2</v>
      </c>
      <c r="AB8" s="18"/>
    </row>
    <row r="9" spans="1:28" ht="17.25" x14ac:dyDescent="0.25">
      <c r="A9" s="5"/>
      <c r="B9" s="6" t="s">
        <v>1</v>
      </c>
      <c r="C9" s="6">
        <f>C4/10.197^2</f>
        <v>4.8086721208741687E-5</v>
      </c>
      <c r="D9" s="5" t="s">
        <v>42</v>
      </c>
      <c r="G9" s="19" t="s">
        <v>46</v>
      </c>
      <c r="H9" s="19" t="s">
        <v>24</v>
      </c>
      <c r="I9" s="19" t="s">
        <v>36</v>
      </c>
      <c r="J9" s="19"/>
      <c r="K9" s="19" t="s">
        <v>44</v>
      </c>
      <c r="L9" s="19" t="s">
        <v>45</v>
      </c>
      <c r="M9" s="19"/>
      <c r="N9" s="19"/>
      <c r="O9" s="19" t="s">
        <v>126</v>
      </c>
      <c r="P9" s="19" t="s">
        <v>127</v>
      </c>
      <c r="Q9" s="19" t="s">
        <v>128</v>
      </c>
      <c r="R9" s="19"/>
      <c r="S9" s="19" t="s">
        <v>31</v>
      </c>
      <c r="T9" s="19" t="s">
        <v>24</v>
      </c>
      <c r="U9" s="44" t="s">
        <v>24</v>
      </c>
      <c r="V9" s="47"/>
      <c r="W9" s="5"/>
      <c r="Y9" s="20" t="s">
        <v>19</v>
      </c>
      <c r="Z9" s="20">
        <f>0.03419*C18/1.205*G11/J11/C15</f>
        <v>7.5259145631472776E-2</v>
      </c>
      <c r="AA9" s="21" t="s">
        <v>20</v>
      </c>
      <c r="AB9" s="21" t="e">
        <f>0.03419*C18/1.205*G11/Z14/C15</f>
        <v>#REF!</v>
      </c>
    </row>
    <row r="10" spans="1:28" ht="18" x14ac:dyDescent="0.3">
      <c r="B10" s="6" t="s">
        <v>5</v>
      </c>
      <c r="C10" s="6">
        <v>110</v>
      </c>
      <c r="D10" s="5" t="s">
        <v>43</v>
      </c>
      <c r="E10" s="28" t="s">
        <v>70</v>
      </c>
      <c r="F10" s="6"/>
      <c r="G10" s="33" t="s">
        <v>6</v>
      </c>
      <c r="H10" s="34" t="s">
        <v>8</v>
      </c>
      <c r="I10" s="34" t="s">
        <v>4</v>
      </c>
      <c r="J10" s="34" t="s">
        <v>10</v>
      </c>
      <c r="K10" s="72" t="s">
        <v>88</v>
      </c>
      <c r="L10" s="57" t="s">
        <v>3</v>
      </c>
      <c r="M10" s="34" t="s">
        <v>119</v>
      </c>
      <c r="N10" s="34" t="s">
        <v>122</v>
      </c>
      <c r="O10" s="34" t="s">
        <v>120</v>
      </c>
      <c r="P10" s="34" t="s">
        <v>121</v>
      </c>
      <c r="Q10" s="34" t="s">
        <v>123</v>
      </c>
      <c r="R10" s="34" t="s">
        <v>124</v>
      </c>
      <c r="S10" s="34" t="s">
        <v>30</v>
      </c>
      <c r="T10" s="34" t="s">
        <v>18</v>
      </c>
      <c r="U10" s="45" t="s">
        <v>8</v>
      </c>
      <c r="V10" s="47"/>
      <c r="W10" s="42"/>
      <c r="Y10" s="20" t="s">
        <v>32</v>
      </c>
      <c r="Z10" s="20">
        <f>EXP(-2*Z9)</f>
        <v>0.86026199458515817</v>
      </c>
      <c r="AA10" s="21"/>
      <c r="AB10" s="21" t="e">
        <f t="shared" ref="AB10" si="0">EXP(-2*AB9)</f>
        <v>#REF!</v>
      </c>
    </row>
    <row r="11" spans="1:28" x14ac:dyDescent="0.25">
      <c r="B11" s="12" t="s">
        <v>9</v>
      </c>
      <c r="C11" s="12">
        <f>(C7^2-C8*C10-C9*C10^2)^0.5</f>
        <v>2.0907135044942478</v>
      </c>
      <c r="D11" s="5" t="s">
        <v>24</v>
      </c>
      <c r="F11" s="6">
        <v>0</v>
      </c>
      <c r="G11" s="6">
        <v>1127</v>
      </c>
      <c r="H11" s="6">
        <f>C11</f>
        <v>2.0907135044942478</v>
      </c>
      <c r="I11" s="93">
        <f>C13</f>
        <v>305.14999999999998</v>
      </c>
      <c r="J11" s="8">
        <f>1/(1+(98-0.27*I11)*H11/10000*1000000/98066.5)</f>
        <v>0.96779335567786984</v>
      </c>
      <c r="K11" s="8">
        <f>C$18*H11/I11/J11*293.15*1000000/101325</f>
        <v>13.722922252064757</v>
      </c>
      <c r="L11" s="58">
        <f>L$8*C$18/K11/(3.14159*C$20^2/4)</f>
        <v>7.9143932927868583</v>
      </c>
      <c r="M11" s="59">
        <f>K11*L11^2/C$28/9.80665/C$20</f>
        <v>0.8765186946455541</v>
      </c>
      <c r="N11" s="89">
        <f>I$3*((L$5-M11)/(M11+0.001))^I$4+1.5*L$3/(1-L$3)</f>
        <v>5.4091883976814595E-2</v>
      </c>
      <c r="O11" s="74">
        <f>L$3+C$19/2*(M11-L$4)</f>
        <v>3.2457702234605014E-2</v>
      </c>
      <c r="P11" s="74">
        <f>L$3</f>
        <v>3.4279765600393822E-2</v>
      </c>
      <c r="Q11" s="74">
        <f>N11/(N11+1.5)</f>
        <v>3.480610415286204E-2</v>
      </c>
      <c r="R11" s="74">
        <f>IF(M11&gt;L$4,O11,IF(M11&lt;L$5,Q11,P11))</f>
        <v>3.480610415286204E-2</v>
      </c>
      <c r="S11" s="10">
        <f>(R11*C$28+K11)*9.80665</f>
        <v>475.90717679387535</v>
      </c>
      <c r="T11" s="8">
        <f t="shared" ref="T11:T22" si="1">(S11*(G11-G12))/1000000</f>
        <v>4.4695615687224834E-2</v>
      </c>
      <c r="U11" s="8">
        <f t="shared" ref="U11:U22" si="2">H11-T11</f>
        <v>2.0460178888070231</v>
      </c>
      <c r="W11" s="41"/>
      <c r="Y11" s="20" t="s">
        <v>33</v>
      </c>
      <c r="Z11" s="20" t="e">
        <f>((H11*10.197)^2*Z10+1.377*#REF!*J11^2*C15^2/(C20*100)^5*(Z10-1)*C10^2)^0.5</f>
        <v>#REF!</v>
      </c>
      <c r="AA11" s="21"/>
      <c r="AB11" s="21" t="e">
        <f>((H11*10.197)^2*AB10+1.377*#REF!*Z14^2*C15^2/(C20*100)^5*(AB10-1)*C10^2)^0.5</f>
        <v>#REF!</v>
      </c>
    </row>
    <row r="12" spans="1:28" x14ac:dyDescent="0.25">
      <c r="F12" s="6">
        <v>1</v>
      </c>
      <c r="G12" s="8">
        <f>G11-G$11/F$23</f>
        <v>1033.0833333333333</v>
      </c>
      <c r="H12" s="8">
        <f>U11</f>
        <v>2.0460178888070231</v>
      </c>
      <c r="I12" s="59">
        <f>I11-C$16</f>
        <v>303.31666666666666</v>
      </c>
      <c r="J12" s="8">
        <f t="shared" ref="J12:J23" si="3">1/(1+(98-0.27*I12)*H12/10000*1000000/98066.5)</f>
        <v>0.9674924976454129</v>
      </c>
      <c r="K12" s="8">
        <f t="shared" ref="K12:K23" si="4">C$18*H12/I12/J12*293.15*1000000/101325</f>
        <v>13.514924837249165</v>
      </c>
      <c r="L12" s="58">
        <f t="shared" ref="L12:L22" si="5">L$8*C$18/K12/(3.14159*C$20^2/4)</f>
        <v>8.0361973993251681</v>
      </c>
      <c r="M12" s="59">
        <f t="shared" ref="M12:M22" si="6">K12*L12^2/C$28/9.80665/C$20</f>
        <v>0.89000849386525327</v>
      </c>
      <c r="N12" s="89">
        <f t="shared" ref="N12:N22" si="7">I$3*((L$5-M12)/(M12+0.001))^I$4+1.5*L$3/(1-L$3)</f>
        <v>5.3955494374675721E-2</v>
      </c>
      <c r="O12" s="74">
        <f t="shared" ref="O12:O22" si="8">L$3+C$19/2*(M12-L$4)</f>
        <v>3.2552130829142906E-2</v>
      </c>
      <c r="P12" s="74">
        <f t="shared" ref="P12:P22" si="9">L$3</f>
        <v>3.4279765600393822E-2</v>
      </c>
      <c r="Q12" s="74">
        <f t="shared" ref="Q12:Q22" si="10">N12/(N12+1.5)</f>
        <v>3.4721389750217942E-2</v>
      </c>
      <c r="R12" s="74">
        <f t="shared" ref="R12:R22" si="11">IF(M12&gt;L$4,O12,IF(M12&lt;L$5,Q12,P12))</f>
        <v>3.4721389750217942E-2</v>
      </c>
      <c r="S12" s="10">
        <f t="shared" ref="S12:S22" si="12">(R12*C$28+K12)*9.80665</f>
        <v>473.03665444918425</v>
      </c>
      <c r="T12" s="8">
        <f t="shared" si="1"/>
        <v>4.4426025797019202E-2</v>
      </c>
      <c r="U12" s="8">
        <f t="shared" si="2"/>
        <v>2.0015918630100038</v>
      </c>
      <c r="W12" s="41"/>
      <c r="Y12" s="4"/>
      <c r="Z12" s="4"/>
      <c r="AB12" s="17" t="e">
        <f>AB11/10.197</f>
        <v>#REF!</v>
      </c>
    </row>
    <row r="13" spans="1:28" x14ac:dyDescent="0.25">
      <c r="A13">
        <v>32</v>
      </c>
      <c r="B13" s="6" t="s">
        <v>11</v>
      </c>
      <c r="C13" s="6">
        <f>A13+273.15</f>
        <v>305.14999999999998</v>
      </c>
      <c r="D13" s="5" t="s">
        <v>36</v>
      </c>
      <c r="F13" s="6">
        <v>2</v>
      </c>
      <c r="G13" s="8">
        <f t="shared" ref="G13:G23" si="13">G12-G$11/F$23</f>
        <v>939.16666666666663</v>
      </c>
      <c r="H13" s="8">
        <f t="shared" ref="H13:H22" si="14">U12</f>
        <v>2.0015918630100038</v>
      </c>
      <c r="I13" s="59">
        <f t="shared" ref="I13:I23" si="15">I12-C$16</f>
        <v>301.48333333333335</v>
      </c>
      <c r="J13" s="8">
        <f t="shared" si="3"/>
        <v>0.96722976828729434</v>
      </c>
      <c r="K13" s="8">
        <f t="shared" si="4"/>
        <v>13.305483262438015</v>
      </c>
      <c r="L13" s="58">
        <f t="shared" si="5"/>
        <v>8.1626951601062014</v>
      </c>
      <c r="M13" s="59">
        <f t="shared" si="6"/>
        <v>0.90401811507733387</v>
      </c>
      <c r="N13" s="89">
        <f t="shared" si="7"/>
        <v>5.3826754671195236E-2</v>
      </c>
      <c r="O13" s="74">
        <f t="shared" si="8"/>
        <v>3.2650198177627467E-2</v>
      </c>
      <c r="P13" s="74">
        <f t="shared" si="9"/>
        <v>3.4279765600393822E-2</v>
      </c>
      <c r="Q13" s="74">
        <f t="shared" si="10"/>
        <v>3.4641413213782314E-2</v>
      </c>
      <c r="R13" s="74">
        <f t="shared" si="11"/>
        <v>3.4641413213782314E-2</v>
      </c>
      <c r="S13" s="10">
        <f t="shared" si="12"/>
        <v>470.19843232852611</v>
      </c>
      <c r="T13" s="8">
        <f t="shared" si="1"/>
        <v>4.4159469436187392E-2</v>
      </c>
      <c r="U13" s="8">
        <f t="shared" si="2"/>
        <v>1.9574323935738165</v>
      </c>
      <c r="W13" s="1"/>
      <c r="Y13" s="20" t="s">
        <v>21</v>
      </c>
      <c r="Z13" s="20" t="e">
        <f>1/(1+(98-0.27*C14)*Z11/10000)</f>
        <v>#REF!</v>
      </c>
    </row>
    <row r="14" spans="1:28" x14ac:dyDescent="0.25">
      <c r="A14">
        <v>10</v>
      </c>
      <c r="B14" s="6" t="s">
        <v>12</v>
      </c>
      <c r="C14" s="6">
        <f>A14+273.15</f>
        <v>283.14999999999998</v>
      </c>
      <c r="D14" s="5" t="s">
        <v>36</v>
      </c>
      <c r="F14" s="6">
        <v>3</v>
      </c>
      <c r="G14" s="8">
        <f t="shared" si="13"/>
        <v>845.25</v>
      </c>
      <c r="H14" s="8">
        <f t="shared" si="14"/>
        <v>1.9574323935738165</v>
      </c>
      <c r="I14" s="59">
        <f t="shared" si="15"/>
        <v>299.65000000000003</v>
      </c>
      <c r="J14" s="8">
        <f t="shared" si="3"/>
        <v>0.96700477334394419</v>
      </c>
      <c r="K14" s="8">
        <f t="shared" si="4"/>
        <v>13.094591663377761</v>
      </c>
      <c r="L14" s="58">
        <f t="shared" si="5"/>
        <v>8.2941573606244976</v>
      </c>
      <c r="M14" s="59">
        <f t="shared" si="6"/>
        <v>0.918577547762913</v>
      </c>
      <c r="N14" s="89">
        <f t="shared" si="7"/>
        <v>5.3706398666984637E-2</v>
      </c>
      <c r="O14" s="74">
        <f t="shared" si="8"/>
        <v>3.2752114206426521E-2</v>
      </c>
      <c r="P14" s="74">
        <f t="shared" si="9"/>
        <v>3.4279765600393822E-2</v>
      </c>
      <c r="Q14" s="74">
        <f t="shared" si="10"/>
        <v>3.4566632867742898E-2</v>
      </c>
      <c r="R14" s="74">
        <f t="shared" si="11"/>
        <v>3.4566632867742898E-2</v>
      </c>
      <c r="S14" s="10">
        <f t="shared" si="12"/>
        <v>467.39694754811438</v>
      </c>
      <c r="T14" s="8">
        <f t="shared" si="1"/>
        <v>4.3896363323893725E-2</v>
      </c>
      <c r="U14" s="8">
        <f t="shared" si="2"/>
        <v>1.9135360302499227</v>
      </c>
      <c r="W14" s="1"/>
      <c r="Y14" s="20" t="s">
        <v>22</v>
      </c>
      <c r="Z14" s="20" t="e">
        <f>(Z13+J11)/2</f>
        <v>#REF!</v>
      </c>
    </row>
    <row r="15" spans="1:28" x14ac:dyDescent="0.25">
      <c r="B15" s="8" t="s">
        <v>13</v>
      </c>
      <c r="C15" s="8">
        <f>(C13+C14)/2</f>
        <v>294.14999999999998</v>
      </c>
      <c r="D15" s="5" t="s">
        <v>36</v>
      </c>
      <c r="F15" s="6">
        <v>4</v>
      </c>
      <c r="G15" s="8">
        <f t="shared" si="13"/>
        <v>751.33333333333337</v>
      </c>
      <c r="H15" s="8">
        <f t="shared" si="14"/>
        <v>1.9135360302499227</v>
      </c>
      <c r="I15" s="59">
        <f t="shared" si="15"/>
        <v>297.81666666666672</v>
      </c>
      <c r="J15" s="8">
        <f t="shared" si="3"/>
        <v>0.9668171408003372</v>
      </c>
      <c r="K15" s="8">
        <f t="shared" si="4"/>
        <v>12.88224020773837</v>
      </c>
      <c r="L15" s="58">
        <f t="shared" si="5"/>
        <v>8.4308786420498176</v>
      </c>
      <c r="M15" s="59">
        <f t="shared" si="6"/>
        <v>0.93371942341804481</v>
      </c>
      <c r="N15" s="89">
        <f t="shared" si="7"/>
        <v>5.3595316523276752E-2</v>
      </c>
      <c r="O15" s="74">
        <f t="shared" si="8"/>
        <v>3.2858107336012445E-2</v>
      </c>
      <c r="P15" s="74">
        <f t="shared" si="9"/>
        <v>3.4279765600393822E-2</v>
      </c>
      <c r="Q15" s="74">
        <f t="shared" si="10"/>
        <v>3.4497604333164039E-2</v>
      </c>
      <c r="R15" s="74">
        <f t="shared" si="11"/>
        <v>3.4497604333164039E-2</v>
      </c>
      <c r="S15" s="10">
        <f t="shared" si="12"/>
        <v>464.63755246704062</v>
      </c>
      <c r="T15" s="8">
        <f t="shared" si="1"/>
        <v>4.3637210135862879E-2</v>
      </c>
      <c r="U15" s="8">
        <f t="shared" si="2"/>
        <v>1.8698988201140598</v>
      </c>
      <c r="W15" s="1"/>
    </row>
    <row r="16" spans="1:28" x14ac:dyDescent="0.25">
      <c r="B16" s="8" t="s">
        <v>14</v>
      </c>
      <c r="C16" s="8">
        <f>(C13-C14)/F23</f>
        <v>1.8333333333333333</v>
      </c>
      <c r="D16" s="5" t="s">
        <v>36</v>
      </c>
      <c r="F16" s="6">
        <v>5</v>
      </c>
      <c r="G16" s="8">
        <f t="shared" si="13"/>
        <v>657.41666666666674</v>
      </c>
      <c r="H16" s="8">
        <f t="shared" si="14"/>
        <v>1.8698988201140598</v>
      </c>
      <c r="I16" s="59">
        <f t="shared" si="15"/>
        <v>295.98333333333341</v>
      </c>
      <c r="J16" s="8">
        <f t="shared" si="3"/>
        <v>0.96666652304125855</v>
      </c>
      <c r="K16" s="8">
        <f t="shared" si="4"/>
        <v>12.668414388933279</v>
      </c>
      <c r="L16" s="58">
        <f t="shared" si="5"/>
        <v>8.573180549260675</v>
      </c>
      <c r="M16" s="59">
        <f t="shared" si="6"/>
        <v>0.94947935312329623</v>
      </c>
      <c r="N16" s="89">
        <f t="shared" si="7"/>
        <v>5.3494629731005786E-2</v>
      </c>
      <c r="O16" s="74">
        <f t="shared" si="8"/>
        <v>3.2968426843949204E-2</v>
      </c>
      <c r="P16" s="74">
        <f t="shared" si="9"/>
        <v>3.4279765600393822E-2</v>
      </c>
      <c r="Q16" s="74">
        <f t="shared" si="10"/>
        <v>3.4435027136378714E-2</v>
      </c>
      <c r="R16" s="74">
        <f t="shared" si="11"/>
        <v>3.4435027136378714E-2</v>
      </c>
      <c r="S16" s="10">
        <f t="shared" si="12"/>
        <v>461.92696483420082</v>
      </c>
      <c r="T16" s="8">
        <f t="shared" si="1"/>
        <v>4.3382640780678675E-2</v>
      </c>
      <c r="U16" s="8">
        <f t="shared" si="2"/>
        <v>1.8265161793333811</v>
      </c>
      <c r="W16" s="1"/>
    </row>
    <row r="17" spans="1:23" x14ac:dyDescent="0.25">
      <c r="F17" s="6">
        <v>6</v>
      </c>
      <c r="G17" s="8">
        <f t="shared" si="13"/>
        <v>563.50000000000011</v>
      </c>
      <c r="H17" s="8">
        <f t="shared" si="14"/>
        <v>1.8265161793333811</v>
      </c>
      <c r="I17" s="59">
        <f t="shared" si="15"/>
        <v>294.15000000000009</v>
      </c>
      <c r="J17" s="8">
        <f t="shared" si="3"/>
        <v>0.966552600017342</v>
      </c>
      <c r="K17" s="8">
        <f t="shared" si="4"/>
        <v>12.453093997755103</v>
      </c>
      <c r="L17" s="58">
        <f t="shared" si="5"/>
        <v>8.7214152441759065</v>
      </c>
      <c r="M17" s="59">
        <f t="shared" si="6"/>
        <v>0.96589633879504677</v>
      </c>
      <c r="N17" s="89">
        <f t="shared" si="7"/>
        <v>5.3405829339824934E-2</v>
      </c>
      <c r="O17" s="74">
        <f t="shared" si="8"/>
        <v>3.308334574365146E-2</v>
      </c>
      <c r="P17" s="74">
        <f t="shared" si="9"/>
        <v>3.4279765600393822E-2</v>
      </c>
      <c r="Q17" s="74">
        <f t="shared" si="10"/>
        <v>3.4379830647681839E-2</v>
      </c>
      <c r="R17" s="74">
        <f t="shared" si="11"/>
        <v>3.4379830647681839E-2</v>
      </c>
      <c r="S17" s="10">
        <f t="shared" si="12"/>
        <v>459.27410047417413</v>
      </c>
      <c r="T17" s="8">
        <f t="shared" si="1"/>
        <v>4.3133492602866197E-2</v>
      </c>
      <c r="U17" s="8">
        <f t="shared" si="2"/>
        <v>1.7833826867305149</v>
      </c>
      <c r="W17" s="1"/>
    </row>
    <row r="18" spans="1:23" x14ac:dyDescent="0.25">
      <c r="A18" t="s">
        <v>38</v>
      </c>
      <c r="B18" s="6" t="s">
        <v>15</v>
      </c>
      <c r="C18" s="6">
        <v>0.67</v>
      </c>
      <c r="D18" s="5" t="s">
        <v>37</v>
      </c>
      <c r="F18" s="6">
        <v>7</v>
      </c>
      <c r="G18" s="8">
        <f t="shared" si="13"/>
        <v>469.58333333333343</v>
      </c>
      <c r="H18" s="8">
        <f t="shared" si="14"/>
        <v>1.7833826867305149</v>
      </c>
      <c r="I18" s="59">
        <f t="shared" si="15"/>
        <v>292.31666666666678</v>
      </c>
      <c r="J18" s="8">
        <f t="shared" si="3"/>
        <v>0.96647508421625539</v>
      </c>
      <c r="K18" s="8">
        <f t="shared" si="4"/>
        <v>12.23625150346588</v>
      </c>
      <c r="L18" s="58">
        <f t="shared" si="5"/>
        <v>8.8759702101917242</v>
      </c>
      <c r="M18" s="59">
        <f t="shared" si="6"/>
        <v>0.98301329420167793</v>
      </c>
      <c r="N18" s="89">
        <f t="shared" si="7"/>
        <v>5.3331071365817578E-2</v>
      </c>
      <c r="O18" s="74">
        <f t="shared" si="8"/>
        <v>3.3203164431497879E-2</v>
      </c>
      <c r="P18" s="74">
        <f t="shared" si="9"/>
        <v>3.4279765600393822E-2</v>
      </c>
      <c r="Q18" s="74">
        <f t="shared" si="10"/>
        <v>3.4333357742547747E-2</v>
      </c>
      <c r="R18" s="74">
        <f t="shared" si="11"/>
        <v>3.4333357742547747E-2</v>
      </c>
      <c r="S18" s="10">
        <f t="shared" si="12"/>
        <v>456.69185851241951</v>
      </c>
      <c r="T18" s="8">
        <f t="shared" si="1"/>
        <v>4.2890977045291406E-2</v>
      </c>
      <c r="U18" s="8">
        <f t="shared" si="2"/>
        <v>1.7404917096852235</v>
      </c>
      <c r="W18" s="1"/>
    </row>
    <row r="19" spans="1:23" x14ac:dyDescent="0.25">
      <c r="B19" s="6" t="s">
        <v>16</v>
      </c>
      <c r="C19" s="6">
        <v>1.4E-2</v>
      </c>
      <c r="F19" s="6">
        <v>8</v>
      </c>
      <c r="G19" s="8">
        <f t="shared" si="13"/>
        <v>375.66666666666674</v>
      </c>
      <c r="H19" s="8">
        <f t="shared" si="14"/>
        <v>1.7404917096852235</v>
      </c>
      <c r="I19" s="59">
        <f t="shared" si="15"/>
        <v>290.48333333333346</v>
      </c>
      <c r="J19" s="8">
        <f t="shared" si="3"/>
        <v>0.9664337293681593</v>
      </c>
      <c r="K19" s="8">
        <f t="shared" si="4"/>
        <v>12.017849180817844</v>
      </c>
      <c r="L19" s="58">
        <f t="shared" si="5"/>
        <v>9.0372746566441577</v>
      </c>
      <c r="M19" s="59">
        <f t="shared" si="6"/>
        <v>1.0008777542574945</v>
      </c>
      <c r="N19" s="89">
        <f t="shared" si="7"/>
        <v>5.3273994906358577E-2</v>
      </c>
      <c r="O19" s="74">
        <f t="shared" si="8"/>
        <v>3.3328215651888593E-2</v>
      </c>
      <c r="P19" s="74">
        <f t="shared" si="9"/>
        <v>3.4279765600393822E-2</v>
      </c>
      <c r="Q19" s="74">
        <f t="shared" si="10"/>
        <v>3.4297873447350337E-2</v>
      </c>
      <c r="R19" s="74">
        <f t="shared" si="11"/>
        <v>3.4297873447350337E-2</v>
      </c>
      <c r="S19" s="10">
        <f t="shared" si="12"/>
        <v>454.20208131152538</v>
      </c>
      <c r="T19" s="8">
        <f t="shared" si="1"/>
        <v>4.2657145469840771E-2</v>
      </c>
      <c r="U19" s="8">
        <f t="shared" si="2"/>
        <v>1.6978345642153827</v>
      </c>
      <c r="W19" s="1"/>
    </row>
    <row r="20" spans="1:23" x14ac:dyDescent="0.25">
      <c r="B20" s="6" t="s">
        <v>17</v>
      </c>
      <c r="C20" s="6">
        <v>0.1</v>
      </c>
      <c r="D20" s="5" t="s">
        <v>39</v>
      </c>
      <c r="F20" s="6">
        <v>9</v>
      </c>
      <c r="G20" s="8">
        <f t="shared" si="13"/>
        <v>281.75000000000006</v>
      </c>
      <c r="H20" s="8">
        <f t="shared" si="14"/>
        <v>1.6978345642153827</v>
      </c>
      <c r="I20" s="59">
        <f t="shared" si="15"/>
        <v>288.65000000000015</v>
      </c>
      <c r="J20" s="8">
        <f t="shared" si="3"/>
        <v>0.96642834914357134</v>
      </c>
      <c r="K20" s="8">
        <f t="shared" si="4"/>
        <v>11.797832787943806</v>
      </c>
      <c r="L20" s="58">
        <f t="shared" si="5"/>
        <v>9.205809726356172</v>
      </c>
      <c r="M20" s="59">
        <f t="shared" si="6"/>
        <v>1.0195430055080996</v>
      </c>
      <c r="N20" s="89" t="e">
        <f t="shared" si="7"/>
        <v>#NUM!</v>
      </c>
      <c r="O20" s="74">
        <f t="shared" si="8"/>
        <v>3.3458872410642826E-2</v>
      </c>
      <c r="P20" s="74">
        <f t="shared" si="9"/>
        <v>3.4279765600393822E-2</v>
      </c>
      <c r="Q20" s="74" t="e">
        <f t="shared" si="10"/>
        <v>#NUM!</v>
      </c>
      <c r="R20" s="74">
        <f t="shared" si="11"/>
        <v>3.4279765600393822E-2</v>
      </c>
      <c r="S20" s="10">
        <f t="shared" si="12"/>
        <v>451.86688023499119</v>
      </c>
      <c r="T20" s="8">
        <f t="shared" si="1"/>
        <v>4.2437831168736263E-2</v>
      </c>
      <c r="U20" s="8">
        <f t="shared" si="2"/>
        <v>1.6553967330466464</v>
      </c>
      <c r="W20" s="1"/>
    </row>
    <row r="21" spans="1:23" x14ac:dyDescent="0.25">
      <c r="B21" s="5"/>
      <c r="C21" s="5"/>
      <c r="F21" s="6">
        <v>10</v>
      </c>
      <c r="G21" s="8">
        <f t="shared" si="13"/>
        <v>187.83333333333337</v>
      </c>
      <c r="H21" s="8">
        <f t="shared" si="14"/>
        <v>1.6553967330466464</v>
      </c>
      <c r="I21" s="59">
        <f t="shared" si="15"/>
        <v>286.81666666666683</v>
      </c>
      <c r="J21" s="8">
        <f t="shared" si="3"/>
        <v>0.96645889588754252</v>
      </c>
      <c r="K21" s="8">
        <f t="shared" si="4"/>
        <v>11.576103749548249</v>
      </c>
      <c r="L21" s="58">
        <f t="shared" si="5"/>
        <v>9.3821380819444737</v>
      </c>
      <c r="M21" s="59">
        <f t="shared" si="6"/>
        <v>1.0390713628125208</v>
      </c>
      <c r="N21" s="89" t="e">
        <f t="shared" si="7"/>
        <v>#NUM!</v>
      </c>
      <c r="O21" s="74">
        <f t="shared" si="8"/>
        <v>3.359557091177378E-2</v>
      </c>
      <c r="P21" s="74">
        <f t="shared" si="9"/>
        <v>3.4279765600393822E-2</v>
      </c>
      <c r="Q21" s="74" t="e">
        <f t="shared" si="10"/>
        <v>#NUM!</v>
      </c>
      <c r="R21" s="74">
        <f t="shared" si="11"/>
        <v>3.4279765600393822E-2</v>
      </c>
      <c r="S21" s="10">
        <f t="shared" si="12"/>
        <v>449.69246116060935</v>
      </c>
      <c r="T21" s="8">
        <f t="shared" si="1"/>
        <v>4.2233616977333896E-2</v>
      </c>
      <c r="U21" s="8">
        <f t="shared" si="2"/>
        <v>1.6131631160693125</v>
      </c>
      <c r="W21" s="1"/>
    </row>
    <row r="22" spans="1:23" x14ac:dyDescent="0.25">
      <c r="A22" s="5"/>
      <c r="B22" s="86"/>
      <c r="C22" s="5"/>
      <c r="F22" s="6">
        <v>11</v>
      </c>
      <c r="G22" s="8">
        <f t="shared" si="13"/>
        <v>93.9166666666667</v>
      </c>
      <c r="H22" s="8">
        <f t="shared" si="14"/>
        <v>1.6131631160693125</v>
      </c>
      <c r="I22" s="59">
        <f t="shared" si="15"/>
        <v>284.98333333333352</v>
      </c>
      <c r="J22" s="8">
        <f t="shared" si="3"/>
        <v>0.96652536902526487</v>
      </c>
      <c r="K22" s="8">
        <f t="shared" si="4"/>
        <v>11.352555996610363</v>
      </c>
      <c r="L22" s="58">
        <f t="shared" si="5"/>
        <v>9.5668855420404988</v>
      </c>
      <c r="M22" s="59">
        <f t="shared" si="6"/>
        <v>1.0595321355555225</v>
      </c>
      <c r="N22" s="89" t="e">
        <f t="shared" si="7"/>
        <v>#NUM!</v>
      </c>
      <c r="O22" s="74">
        <f t="shared" si="8"/>
        <v>3.373879632097479E-2</v>
      </c>
      <c r="P22" s="74">
        <f t="shared" si="9"/>
        <v>3.4279765600393822E-2</v>
      </c>
      <c r="Q22" s="74" t="e">
        <f t="shared" si="10"/>
        <v>#NUM!</v>
      </c>
      <c r="R22" s="74">
        <f t="shared" si="11"/>
        <v>3.4279765600393822E-2</v>
      </c>
      <c r="S22" s="10">
        <f t="shared" si="12"/>
        <v>447.5002065892611</v>
      </c>
      <c r="T22" s="8">
        <f t="shared" si="1"/>
        <v>4.2027727735508114E-2</v>
      </c>
      <c r="U22" s="16">
        <f t="shared" si="2"/>
        <v>1.5711353883338044</v>
      </c>
      <c r="W22" s="1"/>
    </row>
    <row r="23" spans="1:23" x14ac:dyDescent="0.25">
      <c r="A23" s="5"/>
      <c r="B23" s="86"/>
      <c r="C23" s="5"/>
      <c r="E23" s="28" t="s">
        <v>71</v>
      </c>
      <c r="F23" s="6">
        <v>12</v>
      </c>
      <c r="G23" s="8">
        <f t="shared" si="13"/>
        <v>0</v>
      </c>
      <c r="H23" s="16">
        <f>U22</f>
        <v>1.5711353883338044</v>
      </c>
      <c r="I23" s="59">
        <f t="shared" si="15"/>
        <v>283.1500000000002</v>
      </c>
      <c r="J23" s="8">
        <f t="shared" si="3"/>
        <v>0.96662746004975908</v>
      </c>
      <c r="K23" s="8">
        <f t="shared" si="4"/>
        <v>11.127202845825028</v>
      </c>
      <c r="L23" s="5"/>
      <c r="M23" s="87"/>
      <c r="N23" s="87"/>
      <c r="O23" s="52"/>
      <c r="P23" s="52"/>
      <c r="Q23" s="52"/>
      <c r="R23" s="52"/>
      <c r="S23" s="5"/>
      <c r="T23" s="5"/>
      <c r="W23" s="1"/>
    </row>
    <row r="24" spans="1:23" x14ac:dyDescent="0.25">
      <c r="B24" s="6" t="s">
        <v>72</v>
      </c>
      <c r="C24" s="6">
        <v>100</v>
      </c>
      <c r="D24" s="5" t="s">
        <v>73</v>
      </c>
      <c r="L24" s="5"/>
      <c r="M24" s="87"/>
      <c r="N24" s="87"/>
      <c r="O24" s="52"/>
      <c r="P24" s="52"/>
      <c r="Q24" s="52"/>
      <c r="R24" s="52"/>
      <c r="S24" s="5"/>
      <c r="T24" s="5"/>
      <c r="W24" s="1"/>
    </row>
    <row r="25" spans="1:23" x14ac:dyDescent="0.25">
      <c r="B25" s="8" t="s">
        <v>74</v>
      </c>
      <c r="C25" s="8">
        <f>C24*C10/24</f>
        <v>458.33333333333331</v>
      </c>
      <c r="D25" s="5" t="s">
        <v>125</v>
      </c>
      <c r="L25" s="5"/>
      <c r="M25" s="87"/>
      <c r="N25" s="87"/>
      <c r="O25" s="52"/>
      <c r="P25" s="52"/>
      <c r="Q25" s="52"/>
      <c r="R25" s="52"/>
      <c r="S25" s="5"/>
      <c r="T25" s="5"/>
      <c r="W25" s="1"/>
    </row>
    <row r="26" spans="1:23" x14ac:dyDescent="0.25">
      <c r="A26" s="5"/>
      <c r="B26" s="5"/>
      <c r="C26" s="52"/>
      <c r="L26" s="5"/>
      <c r="M26" s="87"/>
      <c r="N26" s="87"/>
      <c r="O26" s="52"/>
      <c r="P26" s="52"/>
      <c r="Q26" s="52"/>
      <c r="R26" s="52"/>
      <c r="S26" s="5"/>
      <c r="T26" s="5"/>
    </row>
    <row r="27" spans="1:23" x14ac:dyDescent="0.25">
      <c r="B27" s="5"/>
      <c r="C27" s="52"/>
      <c r="L27" s="5"/>
      <c r="M27" s="5"/>
      <c r="N27" s="5"/>
      <c r="O27" s="5"/>
      <c r="P27" s="5"/>
      <c r="Q27" s="5"/>
      <c r="R27" s="5"/>
      <c r="S27" s="5"/>
      <c r="T27" s="5"/>
    </row>
    <row r="28" spans="1:23" x14ac:dyDescent="0.25">
      <c r="B28" s="6" t="s">
        <v>81</v>
      </c>
      <c r="C28" s="6">
        <v>1000</v>
      </c>
      <c r="D28" s="2"/>
    </row>
    <row r="29" spans="1:23" ht="15.75" x14ac:dyDescent="0.25">
      <c r="A29" s="5"/>
      <c r="B29" s="90"/>
      <c r="C29" s="91"/>
      <c r="D29" s="71"/>
    </row>
    <row r="30" spans="1:23" x14ac:dyDescent="0.25">
      <c r="A30" s="5"/>
      <c r="B30" s="5"/>
      <c r="C30" s="52"/>
      <c r="D30" s="71"/>
    </row>
    <row r="31" spans="1:23" s="5" customFormat="1" x14ac:dyDescent="0.25">
      <c r="D31" s="71"/>
      <c r="E31" s="27"/>
      <c r="V31" s="46"/>
    </row>
    <row r="32" spans="1:23" x14ac:dyDescent="0.25">
      <c r="D32" s="2"/>
    </row>
    <row r="33" spans="1:28" x14ac:dyDescent="0.25">
      <c r="C33" s="37"/>
      <c r="D33" s="2"/>
    </row>
    <row r="34" spans="1:28" x14ac:dyDescent="0.25">
      <c r="B34" s="38"/>
      <c r="D34" s="2"/>
    </row>
    <row r="35" spans="1:28" x14ac:dyDescent="0.25">
      <c r="D35" s="2"/>
    </row>
    <row r="36" spans="1:28" x14ac:dyDescent="0.25">
      <c r="D36" s="2"/>
    </row>
    <row r="37" spans="1:28" s="27" customFormat="1" x14ac:dyDescent="0.25">
      <c r="A37"/>
      <c r="B37"/>
      <c r="C37"/>
      <c r="D37" s="23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s="46"/>
      <c r="W37"/>
      <c r="X37"/>
      <c r="Y37"/>
      <c r="Z37"/>
      <c r="AA37"/>
      <c r="AB3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ВНИИГАЗ ГС</vt:lpstr>
      <vt:lpstr>7 ВНИИГАЗ-1</vt:lpstr>
      <vt:lpstr>6 ВНИИГАЗ-2</vt:lpstr>
      <vt:lpstr>5 ВНИИГАЗ-1</vt:lpstr>
      <vt:lpstr>4 ББ</vt:lpstr>
      <vt:lpstr>3 Грэй (2)</vt:lpstr>
      <vt:lpstr>3 Грэй испр</vt:lpstr>
      <vt:lpstr>З ОГ</vt:lpstr>
      <vt:lpstr>2 ОГ</vt:lpstr>
      <vt:lpstr>1 ОГ</vt:lpstr>
      <vt:lpstr>Пример 1</vt:lpstr>
      <vt:lpstr>1</vt:lpstr>
      <vt:lpstr>ВНИИГАЗ-1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2026-03-31T07:12:25Z</dcterms:modified>
</cp:coreProperties>
</file>